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studies\Data Analysis\LW6\"/>
    </mc:Choice>
  </mc:AlternateContent>
  <xr:revisionPtr revIDLastSave="0" documentId="13_ncr:1_{D0740153-007B-498F-8B94-CF55CBA70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ris (2)" sheetId="3" r:id="rId1"/>
    <sheet name="Лист1" sheetId="1" r:id="rId2"/>
  </sheets>
  <definedNames>
    <definedName name="ExternalData_1" localSheetId="0" hidden="1">'iris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8" i="3" l="1"/>
  <c r="AA39" i="3"/>
  <c r="AA40" i="3"/>
  <c r="AA38" i="3"/>
  <c r="AB32" i="3"/>
  <c r="AA34" i="3"/>
  <c r="AA33" i="3"/>
  <c r="AA32" i="3"/>
  <c r="M118" i="3"/>
  <c r="N118" i="3"/>
  <c r="M119" i="3"/>
  <c r="N119" i="3"/>
  <c r="M120" i="3"/>
  <c r="N120" i="3"/>
  <c r="M121" i="3"/>
  <c r="N121" i="3"/>
  <c r="M122" i="3"/>
  <c r="N122" i="3"/>
  <c r="M123" i="3"/>
  <c r="N123" i="3"/>
  <c r="M124" i="3"/>
  <c r="N124" i="3"/>
  <c r="M125" i="3"/>
  <c r="N125" i="3"/>
  <c r="M126" i="3"/>
  <c r="N126" i="3"/>
  <c r="M127" i="3"/>
  <c r="N127" i="3"/>
  <c r="M128" i="3"/>
  <c r="N128" i="3"/>
  <c r="M129" i="3"/>
  <c r="N129" i="3"/>
  <c r="M130" i="3"/>
  <c r="N130" i="3"/>
  <c r="N117" i="3"/>
  <c r="M117" i="3"/>
  <c r="M113" i="3"/>
  <c r="M101" i="3"/>
  <c r="N101" i="3"/>
  <c r="M102" i="3"/>
  <c r="N102" i="3"/>
  <c r="M103" i="3"/>
  <c r="N103" i="3"/>
  <c r="M104" i="3"/>
  <c r="N104" i="3"/>
  <c r="M105" i="3"/>
  <c r="N105" i="3"/>
  <c r="M106" i="3"/>
  <c r="N106" i="3"/>
  <c r="M107" i="3"/>
  <c r="N107" i="3"/>
  <c r="M108" i="3"/>
  <c r="N108" i="3"/>
  <c r="M109" i="3"/>
  <c r="N109" i="3"/>
  <c r="M110" i="3"/>
  <c r="N110" i="3"/>
  <c r="M111" i="3"/>
  <c r="N111" i="3"/>
  <c r="M112" i="3"/>
  <c r="N112" i="3"/>
  <c r="N113" i="3"/>
  <c r="N100" i="3"/>
  <c r="M100" i="3"/>
  <c r="M84" i="3"/>
  <c r="N84" i="3"/>
  <c r="M85" i="3"/>
  <c r="N85" i="3"/>
  <c r="M86" i="3"/>
  <c r="N86" i="3"/>
  <c r="M87" i="3"/>
  <c r="N87" i="3"/>
  <c r="M88" i="3"/>
  <c r="N88" i="3"/>
  <c r="M89" i="3"/>
  <c r="N89" i="3"/>
  <c r="M90" i="3"/>
  <c r="N90" i="3"/>
  <c r="M91" i="3"/>
  <c r="N91" i="3"/>
  <c r="M92" i="3"/>
  <c r="N92" i="3"/>
  <c r="M93" i="3"/>
  <c r="N93" i="3"/>
  <c r="M94" i="3"/>
  <c r="N94" i="3"/>
  <c r="M95" i="3"/>
  <c r="N95" i="3"/>
  <c r="M96" i="3"/>
  <c r="N96" i="3"/>
  <c r="N83" i="3"/>
  <c r="M83" i="3"/>
  <c r="M67" i="3"/>
  <c r="N67" i="3"/>
  <c r="M68" i="3"/>
  <c r="N68" i="3"/>
  <c r="M69" i="3"/>
  <c r="N69" i="3"/>
  <c r="M70" i="3"/>
  <c r="N70" i="3"/>
  <c r="M71" i="3"/>
  <c r="N71" i="3"/>
  <c r="M72" i="3"/>
  <c r="N72" i="3"/>
  <c r="M73" i="3"/>
  <c r="N73" i="3"/>
  <c r="M74" i="3"/>
  <c r="N74" i="3"/>
  <c r="M75" i="3"/>
  <c r="N75" i="3"/>
  <c r="M76" i="3"/>
  <c r="N76" i="3"/>
  <c r="M77" i="3"/>
  <c r="N77" i="3"/>
  <c r="M78" i="3"/>
  <c r="N78" i="3"/>
  <c r="M79" i="3"/>
  <c r="N79" i="3"/>
  <c r="N66" i="3"/>
  <c r="M66" i="3"/>
  <c r="M50" i="3"/>
  <c r="N50" i="3"/>
  <c r="M51" i="3"/>
  <c r="N51" i="3"/>
  <c r="M52" i="3"/>
  <c r="N52" i="3"/>
  <c r="M53" i="3"/>
  <c r="N53" i="3"/>
  <c r="M54" i="3"/>
  <c r="N54" i="3"/>
  <c r="M55" i="3"/>
  <c r="N55" i="3"/>
  <c r="M56" i="3"/>
  <c r="N56" i="3"/>
  <c r="M57" i="3"/>
  <c r="N57" i="3"/>
  <c r="M58" i="3"/>
  <c r="N58" i="3"/>
  <c r="M59" i="3"/>
  <c r="N59" i="3"/>
  <c r="M60" i="3"/>
  <c r="N60" i="3"/>
  <c r="M61" i="3"/>
  <c r="N61" i="3"/>
  <c r="M62" i="3"/>
  <c r="N62" i="3"/>
  <c r="N49" i="3"/>
  <c r="M49" i="3"/>
  <c r="M35" i="3"/>
  <c r="N35" i="3"/>
  <c r="M36" i="3"/>
  <c r="N36" i="3"/>
  <c r="M37" i="3"/>
  <c r="N37" i="3"/>
  <c r="M38" i="3"/>
  <c r="N38" i="3"/>
  <c r="M39" i="3"/>
  <c r="N39" i="3"/>
  <c r="M40" i="3"/>
  <c r="N40" i="3"/>
  <c r="M41" i="3"/>
  <c r="N41" i="3"/>
  <c r="M42" i="3"/>
  <c r="N42" i="3"/>
  <c r="M43" i="3"/>
  <c r="N43" i="3"/>
  <c r="M44" i="3"/>
  <c r="N44" i="3"/>
  <c r="M45" i="3"/>
  <c r="N45" i="3"/>
  <c r="M33" i="3"/>
  <c r="N33" i="3"/>
  <c r="M34" i="3"/>
  <c r="N34" i="3"/>
  <c r="N32" i="3"/>
  <c r="M3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B6651A-E420-4CCF-B1BC-6CFC411A014C}" keepAlive="1" name="Запрос — iris" description="Соединение с запросом &quot;iris&quot; в книге." type="5" refreshedVersion="0" background="1">
    <dbPr connection="Provider=Microsoft.Mashup.OleDb.1;Data Source=$Workbook$;Location=iris;Extended Properties=&quot;&quot;" command="SELECT * FROM [iris]"/>
  </connection>
  <connection id="2" xr16:uid="{6C999250-8A8A-4D6D-8C47-EC253D4839EC}" keepAlive="1" name="Запрос — iris (2)" description="Соединение с запросом &quot;iris (2)&quot; в книге." type="5" refreshedVersion="0" background="1">
    <dbPr connection="Provider=Microsoft.Mashup.OleDb.1;Data Source=$Workbook$;Location=&quot;iris (2)&quot;;Extended Properties=&quot;&quot;" command="SELECT * FROM [iris (2)]"/>
  </connection>
</connections>
</file>

<file path=xl/sharedStrings.xml><?xml version="1.0" encoding="utf-8"?>
<sst xmlns="http://schemas.openxmlformats.org/spreadsheetml/2006/main" count="494" uniqueCount="31">
  <si>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</si>
  <si>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</si>
  <si>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</si>
  <si>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</si>
  <si>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</si>
  <si>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</si>
  <si>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</si>
  <si>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</si>
  <si>
    <t>№</t>
  </si>
  <si>
    <t>Обучающая выборка</t>
  </si>
  <si>
    <t>Тестирующая выборка</t>
  </si>
  <si>
    <t>k = 3</t>
  </si>
  <si>
    <t>Расстояние</t>
  </si>
  <si>
    <t>Класс</t>
  </si>
  <si>
    <t>I = 1</t>
  </si>
  <si>
    <t>I = 2</t>
  </si>
  <si>
    <t>I = 3</t>
  </si>
  <si>
    <t>I = 4</t>
  </si>
  <si>
    <t>I = 5</t>
  </si>
  <si>
    <t>I = 6</t>
  </si>
  <si>
    <t>k</t>
  </si>
  <si>
    <t xml:space="preserve">setosa </t>
  </si>
  <si>
    <t>P1</t>
  </si>
  <si>
    <t>P2</t>
  </si>
  <si>
    <t>P3</t>
  </si>
  <si>
    <t>C1</t>
  </si>
  <si>
    <t>C2</t>
  </si>
  <si>
    <t>C3</t>
  </si>
  <si>
    <t>Prec(i)</t>
  </si>
  <si>
    <t>Err</t>
  </si>
  <si>
    <t>k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</si>
</sst>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2" borderId="4" xfId="0" applyNumberFormat="1" applyFont="1" applyFill="1" applyBorder="1"/>
    <xf numFmtId="0" fontId="1" fillId="2" borderId="3" xfId="0" applyNumberFormat="1" applyFont="1" applyFill="1" applyBorder="1"/>
    <xf numFmtId="0" fontId="2" fillId="2" borderId="1" xfId="0" applyNumberFormat="1" applyFont="1" applyFill="1" applyBorder="1"/>
    <xf numFmtId="0" fontId="2" fillId="2" borderId="2" xfId="0" applyNumberFormat="1" applyFont="1" applyFill="1" applyBorder="1"/>
    <xf numFmtId="0" fontId="2" fillId="2" borderId="0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Обучающая</a:t>
            </a:r>
            <a:r>
              <a:rPr lang="ru-RU" baseline="0"/>
              <a:t> выборка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setosa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'iris (2)'!$N$3:$N$6</c:f>
              <c:numCache>
                <c:formatCode>General</c:formatCode>
                <c:ptCount val="4"/>
                <c:pt idx="0">
                  <c:v>1.4</c:v>
                </c:pt>
                <c:pt idx="1">
                  <c:v>1.7</c:v>
                </c:pt>
                <c:pt idx="2">
                  <c:v>1.5</c:v>
                </c:pt>
                <c:pt idx="3">
                  <c:v>1.4</c:v>
                </c:pt>
              </c:numCache>
            </c:numRef>
          </c:xVal>
          <c:yVal>
            <c:numRef>
              <c:f>'iris (2)'!$O$3:$O$6</c:f>
              <c:numCache>
                <c:formatCode>General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9-4042-8231-1D12FFCA10B0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'iris (2)'!$N$7:$N$11</c:f>
              <c:numCache>
                <c:formatCode>General</c:formatCode>
                <c:ptCount val="5"/>
                <c:pt idx="0">
                  <c:v>4.7</c:v>
                </c:pt>
                <c:pt idx="1">
                  <c:v>3.5</c:v>
                </c:pt>
                <c:pt idx="2">
                  <c:v>4.8</c:v>
                </c:pt>
                <c:pt idx="3">
                  <c:v>3.8</c:v>
                </c:pt>
                <c:pt idx="4">
                  <c:v>4.4000000000000004</c:v>
                </c:pt>
              </c:numCache>
            </c:numRef>
          </c:xVal>
          <c:yVal>
            <c:numRef>
              <c:f>'iris (2)'!$O$7:$O$11</c:f>
              <c:numCache>
                <c:formatCode>General</c:formatCode>
                <c:ptCount val="5"/>
                <c:pt idx="0">
                  <c:v>1.4</c:v>
                </c:pt>
                <c:pt idx="1">
                  <c:v>1</c:v>
                </c:pt>
                <c:pt idx="2">
                  <c:v>1.8</c:v>
                </c:pt>
                <c:pt idx="3">
                  <c:v>1.1000000000000001</c:v>
                </c:pt>
                <c:pt idx="4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29-4042-8231-1D12FFCA10B0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'iris (2)'!$N$12:$N$16</c:f>
              <c:numCache>
                <c:formatCode>General</c:formatCode>
                <c:ptCount val="5"/>
                <c:pt idx="0">
                  <c:v>6</c:v>
                </c:pt>
                <c:pt idx="1">
                  <c:v>5.0999999999999996</c:v>
                </c:pt>
                <c:pt idx="2">
                  <c:v>5.7</c:v>
                </c:pt>
                <c:pt idx="3">
                  <c:v>6.1</c:v>
                </c:pt>
                <c:pt idx="4">
                  <c:v>5.6</c:v>
                </c:pt>
              </c:numCache>
            </c:numRef>
          </c:xVal>
          <c:yVal>
            <c:numRef>
              <c:f>'iris (2)'!$O$12:$O$16</c:f>
              <c:numCache>
                <c:formatCode>General</c:formatCode>
                <c:ptCount val="5"/>
                <c:pt idx="0">
                  <c:v>2.5</c:v>
                </c:pt>
                <c:pt idx="1">
                  <c:v>2</c:v>
                </c:pt>
                <c:pt idx="2">
                  <c:v>2.2999999999999998</c:v>
                </c:pt>
                <c:pt idx="3">
                  <c:v>1.9</c:v>
                </c:pt>
                <c:pt idx="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29-4042-8231-1D12FFCA1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05456"/>
        <c:axId val="1632897968"/>
      </c:scatterChart>
      <c:valAx>
        <c:axId val="163290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2897968"/>
        <c:crosses val="autoZero"/>
        <c:crossBetween val="midCat"/>
      </c:valAx>
      <c:valAx>
        <c:axId val="16328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290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Генеральная</a:t>
            </a:r>
            <a:r>
              <a:rPr lang="ru-RU" baseline="0"/>
              <a:t> совокупность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setosa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'iris (2)'!$I$2:$I$51</c:f>
              <c:numCache>
                <c:formatCode>General</c:formatCode>
                <c:ptCount val="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</c:numCache>
            </c:numRef>
          </c:xVal>
          <c:yVal>
            <c:numRef>
              <c:f>'iris (2)'!$J$2:$J$51</c:f>
              <c:numCache>
                <c:formatCode>General</c:formatCode>
                <c:ptCount val="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48-4EEF-B17D-76E0ED557736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'iris (2)'!$I$52:$I$101</c:f>
              <c:numCache>
                <c:formatCode>General</c:formatCode>
                <c:ptCount val="50"/>
                <c:pt idx="0">
                  <c:v>4.7</c:v>
                </c:pt>
                <c:pt idx="1">
                  <c:v>4.5</c:v>
                </c:pt>
                <c:pt idx="2">
                  <c:v>4.9000000000000004</c:v>
                </c:pt>
                <c:pt idx="3">
                  <c:v>4</c:v>
                </c:pt>
                <c:pt idx="4">
                  <c:v>4.5999999999999996</c:v>
                </c:pt>
                <c:pt idx="5">
                  <c:v>4.5</c:v>
                </c:pt>
                <c:pt idx="6">
                  <c:v>4.7</c:v>
                </c:pt>
                <c:pt idx="7">
                  <c:v>3.3</c:v>
                </c:pt>
                <c:pt idx="8">
                  <c:v>4.5999999999999996</c:v>
                </c:pt>
                <c:pt idx="9">
                  <c:v>3.9</c:v>
                </c:pt>
                <c:pt idx="10">
                  <c:v>3.5</c:v>
                </c:pt>
                <c:pt idx="11">
                  <c:v>4.2</c:v>
                </c:pt>
                <c:pt idx="12">
                  <c:v>4</c:v>
                </c:pt>
                <c:pt idx="13">
                  <c:v>4.7</c:v>
                </c:pt>
                <c:pt idx="14">
                  <c:v>3.6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4.0999999999999996</c:v>
                </c:pt>
                <c:pt idx="18">
                  <c:v>4.5</c:v>
                </c:pt>
                <c:pt idx="19">
                  <c:v>3.9</c:v>
                </c:pt>
                <c:pt idx="20">
                  <c:v>4.8</c:v>
                </c:pt>
                <c:pt idx="21">
                  <c:v>4</c:v>
                </c:pt>
                <c:pt idx="22">
                  <c:v>4.9000000000000004</c:v>
                </c:pt>
                <c:pt idx="23">
                  <c:v>4.7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4.8</c:v>
                </c:pt>
                <c:pt idx="27">
                  <c:v>5</c:v>
                </c:pt>
                <c:pt idx="28">
                  <c:v>4.5</c:v>
                </c:pt>
                <c:pt idx="29">
                  <c:v>3.5</c:v>
                </c:pt>
                <c:pt idx="30">
                  <c:v>3.8</c:v>
                </c:pt>
                <c:pt idx="31">
                  <c:v>3.7</c:v>
                </c:pt>
                <c:pt idx="32">
                  <c:v>3.9</c:v>
                </c:pt>
                <c:pt idx="33">
                  <c:v>5.0999999999999996</c:v>
                </c:pt>
                <c:pt idx="34">
                  <c:v>4.5</c:v>
                </c:pt>
                <c:pt idx="35">
                  <c:v>4.5</c:v>
                </c:pt>
                <c:pt idx="36">
                  <c:v>4.7</c:v>
                </c:pt>
                <c:pt idx="37">
                  <c:v>4.4000000000000004</c:v>
                </c:pt>
                <c:pt idx="38">
                  <c:v>4.0999999999999996</c:v>
                </c:pt>
                <c:pt idx="39">
                  <c:v>4</c:v>
                </c:pt>
                <c:pt idx="40">
                  <c:v>4.4000000000000004</c:v>
                </c:pt>
                <c:pt idx="41">
                  <c:v>4.5999999999999996</c:v>
                </c:pt>
                <c:pt idx="42">
                  <c:v>4</c:v>
                </c:pt>
                <c:pt idx="43">
                  <c:v>3.3</c:v>
                </c:pt>
                <c:pt idx="44">
                  <c:v>4.2</c:v>
                </c:pt>
                <c:pt idx="45">
                  <c:v>4.2</c:v>
                </c:pt>
                <c:pt idx="46">
                  <c:v>4.2</c:v>
                </c:pt>
                <c:pt idx="47">
                  <c:v>4.3</c:v>
                </c:pt>
                <c:pt idx="48">
                  <c:v>3</c:v>
                </c:pt>
                <c:pt idx="49">
                  <c:v>4.0999999999999996</c:v>
                </c:pt>
              </c:numCache>
            </c:numRef>
          </c:xVal>
          <c:yVal>
            <c:numRef>
              <c:f>'iris (2)'!$J$52:$J$101</c:f>
              <c:numCache>
                <c:formatCode>General</c:formatCode>
                <c:ptCount val="50"/>
                <c:pt idx="0">
                  <c:v>1.4</c:v>
                </c:pt>
                <c:pt idx="1">
                  <c:v>1.5</c:v>
                </c:pt>
                <c:pt idx="2">
                  <c:v>1.5</c:v>
                </c:pt>
                <c:pt idx="3">
                  <c:v>1.3</c:v>
                </c:pt>
                <c:pt idx="4">
                  <c:v>1.5</c:v>
                </c:pt>
                <c:pt idx="5">
                  <c:v>1.3</c:v>
                </c:pt>
                <c:pt idx="6">
                  <c:v>1.6</c:v>
                </c:pt>
                <c:pt idx="7">
                  <c:v>1</c:v>
                </c:pt>
                <c:pt idx="8">
                  <c:v>1.3</c:v>
                </c:pt>
                <c:pt idx="9">
                  <c:v>1.4</c:v>
                </c:pt>
                <c:pt idx="10">
                  <c:v>1</c:v>
                </c:pt>
                <c:pt idx="11">
                  <c:v>1.5</c:v>
                </c:pt>
                <c:pt idx="12">
                  <c:v>1</c:v>
                </c:pt>
                <c:pt idx="13">
                  <c:v>1.4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</c:v>
                </c:pt>
                <c:pt idx="18">
                  <c:v>1.5</c:v>
                </c:pt>
                <c:pt idx="19">
                  <c:v>1.1000000000000001</c:v>
                </c:pt>
                <c:pt idx="20">
                  <c:v>1.8</c:v>
                </c:pt>
                <c:pt idx="21">
                  <c:v>1.3</c:v>
                </c:pt>
                <c:pt idx="22">
                  <c:v>1.5</c:v>
                </c:pt>
                <c:pt idx="23">
                  <c:v>1.2</c:v>
                </c:pt>
                <c:pt idx="24">
                  <c:v>1.3</c:v>
                </c:pt>
                <c:pt idx="25">
                  <c:v>1.4</c:v>
                </c:pt>
                <c:pt idx="26">
                  <c:v>1.4</c:v>
                </c:pt>
                <c:pt idx="27">
                  <c:v>1.7</c:v>
                </c:pt>
                <c:pt idx="28">
                  <c:v>1.5</c:v>
                </c:pt>
                <c:pt idx="29">
                  <c:v>1</c:v>
                </c:pt>
                <c:pt idx="30">
                  <c:v>1.1000000000000001</c:v>
                </c:pt>
                <c:pt idx="31">
                  <c:v>1</c:v>
                </c:pt>
                <c:pt idx="32">
                  <c:v>1.2</c:v>
                </c:pt>
                <c:pt idx="33">
                  <c:v>1.6</c:v>
                </c:pt>
                <c:pt idx="34">
                  <c:v>1.5</c:v>
                </c:pt>
                <c:pt idx="35">
                  <c:v>1.6</c:v>
                </c:pt>
                <c:pt idx="36">
                  <c:v>1.5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1.4</c:v>
                </c:pt>
                <c:pt idx="42">
                  <c:v>1.2</c:v>
                </c:pt>
                <c:pt idx="43">
                  <c:v>1</c:v>
                </c:pt>
                <c:pt idx="44">
                  <c:v>1.3</c:v>
                </c:pt>
                <c:pt idx="45">
                  <c:v>1.2</c:v>
                </c:pt>
                <c:pt idx="46">
                  <c:v>1.3</c:v>
                </c:pt>
                <c:pt idx="47">
                  <c:v>1.3</c:v>
                </c:pt>
                <c:pt idx="48">
                  <c:v>1.1000000000000001</c:v>
                </c:pt>
                <c:pt idx="49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48-4EEF-B17D-76E0ED557736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'iris (2)'!$I$102:$I$151</c:f>
              <c:numCache>
                <c:formatCode>General</c:formatCode>
                <c:ptCount val="50"/>
                <c:pt idx="0">
                  <c:v>6</c:v>
                </c:pt>
                <c:pt idx="1">
                  <c:v>5.0999999999999996</c:v>
                </c:pt>
                <c:pt idx="2">
                  <c:v>5.9</c:v>
                </c:pt>
                <c:pt idx="3">
                  <c:v>5.6</c:v>
                </c:pt>
                <c:pt idx="4">
                  <c:v>5.8</c:v>
                </c:pt>
                <c:pt idx="5">
                  <c:v>6.6</c:v>
                </c:pt>
                <c:pt idx="6">
                  <c:v>4.5</c:v>
                </c:pt>
                <c:pt idx="7">
                  <c:v>6.3</c:v>
                </c:pt>
                <c:pt idx="8">
                  <c:v>5.8</c:v>
                </c:pt>
                <c:pt idx="9">
                  <c:v>6.1</c:v>
                </c:pt>
                <c:pt idx="10">
                  <c:v>5.0999999999999996</c:v>
                </c:pt>
                <c:pt idx="11">
                  <c:v>5.3</c:v>
                </c:pt>
                <c:pt idx="12">
                  <c:v>5.5</c:v>
                </c:pt>
                <c:pt idx="13">
                  <c:v>5</c:v>
                </c:pt>
                <c:pt idx="14">
                  <c:v>5.0999999999999996</c:v>
                </c:pt>
                <c:pt idx="15">
                  <c:v>5.3</c:v>
                </c:pt>
                <c:pt idx="16">
                  <c:v>5.5</c:v>
                </c:pt>
                <c:pt idx="17">
                  <c:v>6.7</c:v>
                </c:pt>
                <c:pt idx="18">
                  <c:v>6.9</c:v>
                </c:pt>
                <c:pt idx="19">
                  <c:v>5</c:v>
                </c:pt>
                <c:pt idx="20">
                  <c:v>5.7</c:v>
                </c:pt>
                <c:pt idx="21">
                  <c:v>4.9000000000000004</c:v>
                </c:pt>
                <c:pt idx="22">
                  <c:v>6.7</c:v>
                </c:pt>
                <c:pt idx="23">
                  <c:v>4.9000000000000004</c:v>
                </c:pt>
                <c:pt idx="24">
                  <c:v>5.7</c:v>
                </c:pt>
                <c:pt idx="25">
                  <c:v>6</c:v>
                </c:pt>
                <c:pt idx="26">
                  <c:v>4.8</c:v>
                </c:pt>
                <c:pt idx="27">
                  <c:v>4.9000000000000004</c:v>
                </c:pt>
                <c:pt idx="28">
                  <c:v>5.6</c:v>
                </c:pt>
                <c:pt idx="29">
                  <c:v>5.8</c:v>
                </c:pt>
                <c:pt idx="30">
                  <c:v>6.1</c:v>
                </c:pt>
                <c:pt idx="31">
                  <c:v>6.4</c:v>
                </c:pt>
                <c:pt idx="32">
                  <c:v>5.6</c:v>
                </c:pt>
                <c:pt idx="33">
                  <c:v>5.0999999999999996</c:v>
                </c:pt>
                <c:pt idx="34">
                  <c:v>5.6</c:v>
                </c:pt>
                <c:pt idx="35">
                  <c:v>6.1</c:v>
                </c:pt>
                <c:pt idx="36">
                  <c:v>5.6</c:v>
                </c:pt>
                <c:pt idx="37">
                  <c:v>5.5</c:v>
                </c:pt>
                <c:pt idx="38">
                  <c:v>4.8</c:v>
                </c:pt>
                <c:pt idx="39">
                  <c:v>5.4</c:v>
                </c:pt>
                <c:pt idx="40">
                  <c:v>5.6</c:v>
                </c:pt>
                <c:pt idx="41">
                  <c:v>5.0999999999999996</c:v>
                </c:pt>
                <c:pt idx="42">
                  <c:v>5.0999999999999996</c:v>
                </c:pt>
                <c:pt idx="43">
                  <c:v>5.9</c:v>
                </c:pt>
                <c:pt idx="44">
                  <c:v>5.7</c:v>
                </c:pt>
                <c:pt idx="45">
                  <c:v>5.2</c:v>
                </c:pt>
                <c:pt idx="46">
                  <c:v>5</c:v>
                </c:pt>
                <c:pt idx="47">
                  <c:v>5.2</c:v>
                </c:pt>
                <c:pt idx="48">
                  <c:v>5.4</c:v>
                </c:pt>
                <c:pt idx="49">
                  <c:v>5.0999999999999996</c:v>
                </c:pt>
              </c:numCache>
            </c:numRef>
          </c:xVal>
          <c:yVal>
            <c:numRef>
              <c:f>'iris (2)'!$J$102:$J$151</c:f>
              <c:numCache>
                <c:formatCode>General</c:formatCode>
                <c:ptCount val="50"/>
                <c:pt idx="0">
                  <c:v>2.5</c:v>
                </c:pt>
                <c:pt idx="1">
                  <c:v>1.9</c:v>
                </c:pt>
                <c:pt idx="2">
                  <c:v>2.1</c:v>
                </c:pt>
                <c:pt idx="3">
                  <c:v>1.8</c:v>
                </c:pt>
                <c:pt idx="4">
                  <c:v>2.2000000000000002</c:v>
                </c:pt>
                <c:pt idx="5">
                  <c:v>2.1</c:v>
                </c:pt>
                <c:pt idx="6">
                  <c:v>1.7</c:v>
                </c:pt>
                <c:pt idx="7">
                  <c:v>1.8</c:v>
                </c:pt>
                <c:pt idx="8">
                  <c:v>1.8</c:v>
                </c:pt>
                <c:pt idx="9">
                  <c:v>2.5</c:v>
                </c:pt>
                <c:pt idx="10">
                  <c:v>2</c:v>
                </c:pt>
                <c:pt idx="11">
                  <c:v>1.9</c:v>
                </c:pt>
                <c:pt idx="12">
                  <c:v>2.1</c:v>
                </c:pt>
                <c:pt idx="13">
                  <c:v>2</c:v>
                </c:pt>
                <c:pt idx="14">
                  <c:v>2.4</c:v>
                </c:pt>
                <c:pt idx="15">
                  <c:v>2.2999999999999998</c:v>
                </c:pt>
                <c:pt idx="16">
                  <c:v>1.8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1.5</c:v>
                </c:pt>
                <c:pt idx="20">
                  <c:v>2.2999999999999998</c:v>
                </c:pt>
                <c:pt idx="21">
                  <c:v>2</c:v>
                </c:pt>
                <c:pt idx="22">
                  <c:v>2</c:v>
                </c:pt>
                <c:pt idx="23">
                  <c:v>1.8</c:v>
                </c:pt>
                <c:pt idx="24">
                  <c:v>2.1</c:v>
                </c:pt>
                <c:pt idx="25">
                  <c:v>1.8</c:v>
                </c:pt>
                <c:pt idx="26">
                  <c:v>1.8</c:v>
                </c:pt>
                <c:pt idx="27">
                  <c:v>1.8</c:v>
                </c:pt>
                <c:pt idx="28">
                  <c:v>2.1</c:v>
                </c:pt>
                <c:pt idx="29">
                  <c:v>1.6</c:v>
                </c:pt>
                <c:pt idx="30">
                  <c:v>1.9</c:v>
                </c:pt>
                <c:pt idx="31">
                  <c:v>2</c:v>
                </c:pt>
                <c:pt idx="32">
                  <c:v>2.2000000000000002</c:v>
                </c:pt>
                <c:pt idx="33">
                  <c:v>1.5</c:v>
                </c:pt>
                <c:pt idx="34">
                  <c:v>1.4</c:v>
                </c:pt>
                <c:pt idx="35">
                  <c:v>2.2999999999999998</c:v>
                </c:pt>
                <c:pt idx="36">
                  <c:v>2.4</c:v>
                </c:pt>
                <c:pt idx="37">
                  <c:v>1.8</c:v>
                </c:pt>
                <c:pt idx="38">
                  <c:v>1.8</c:v>
                </c:pt>
                <c:pt idx="39">
                  <c:v>2.1</c:v>
                </c:pt>
                <c:pt idx="40">
                  <c:v>2.4</c:v>
                </c:pt>
                <c:pt idx="41">
                  <c:v>2.2999999999999998</c:v>
                </c:pt>
                <c:pt idx="42">
                  <c:v>1.9</c:v>
                </c:pt>
                <c:pt idx="43">
                  <c:v>2.2999999999999998</c:v>
                </c:pt>
                <c:pt idx="44">
                  <c:v>2.5</c:v>
                </c:pt>
                <c:pt idx="45">
                  <c:v>2.2999999999999998</c:v>
                </c:pt>
                <c:pt idx="46">
                  <c:v>1.9</c:v>
                </c:pt>
                <c:pt idx="47">
                  <c:v>2</c:v>
                </c:pt>
                <c:pt idx="48">
                  <c:v>2.2999999999999998</c:v>
                </c:pt>
                <c:pt idx="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48-4EEF-B17D-76E0ED557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559968"/>
        <c:axId val="1534560800"/>
      </c:scatterChart>
      <c:valAx>
        <c:axId val="153455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4560800"/>
        <c:crosses val="autoZero"/>
        <c:crossBetween val="midCat"/>
      </c:valAx>
      <c:valAx>
        <c:axId val="15345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455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Тестирующая</a:t>
            </a:r>
            <a:r>
              <a:rPr lang="ru-RU" baseline="0"/>
              <a:t> выборка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setosa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'iris (2)'!$N$21:$N$22</c:f>
              <c:numCache>
                <c:formatCode>General</c:formatCode>
                <c:ptCount val="2"/>
                <c:pt idx="0">
                  <c:v>1.5</c:v>
                </c:pt>
                <c:pt idx="1">
                  <c:v>1.7</c:v>
                </c:pt>
              </c:numCache>
            </c:numRef>
          </c:xVal>
          <c:yVal>
            <c:numRef>
              <c:f>'iris (2)'!$O$21:$O$22</c:f>
              <c:numCache>
                <c:formatCode>General</c:formatCode>
                <c:ptCount val="2"/>
                <c:pt idx="0">
                  <c:v>0.2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E-4EE8-9588-983E9C73903D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'iris (2)'!$N$23:$N$24</c:f>
              <c:numCache>
                <c:formatCode>General</c:formatCode>
                <c:ptCount val="2"/>
                <c:pt idx="0">
                  <c:v>4.5</c:v>
                </c:pt>
                <c:pt idx="1">
                  <c:v>3.3</c:v>
                </c:pt>
              </c:numCache>
            </c:numRef>
          </c:xVal>
          <c:yVal>
            <c:numRef>
              <c:f>'iris (2)'!$O$23:$O$24</c:f>
              <c:numCache>
                <c:formatCode>General</c:formatCode>
                <c:ptCount val="2"/>
                <c:pt idx="0">
                  <c:v>1.3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3E-4EE8-9588-983E9C73903D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'iris (2)'!$N$25:$N$26</c:f>
              <c:numCache>
                <c:formatCode>General</c:formatCode>
                <c:ptCount val="2"/>
                <c:pt idx="0">
                  <c:v>5.9</c:v>
                </c:pt>
                <c:pt idx="1">
                  <c:v>4.9000000000000004</c:v>
                </c:pt>
              </c:numCache>
            </c:numRef>
          </c:xVal>
          <c:yVal>
            <c:numRef>
              <c:f>'iris (2)'!$O$25:$O$26</c:f>
              <c:numCache>
                <c:formatCode>General</c:formatCode>
                <c:ptCount val="2"/>
                <c:pt idx="0">
                  <c:v>2.2999999999999998</c:v>
                </c:pt>
                <c:pt idx="1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3E-4EE8-9588-983E9C739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442688"/>
        <c:axId val="1948440608"/>
      </c:scatterChart>
      <c:valAx>
        <c:axId val="1948442688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8440608"/>
        <c:crosses val="autoZero"/>
        <c:crossBetween val="midCat"/>
      </c:valAx>
      <c:valAx>
        <c:axId val="194844060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844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590550</xdr:colOff>
      <xdr:row>0</xdr:row>
      <xdr:rowOff>185737</xdr:rowOff>
    </xdr:from>
    <xdr:to>
      <xdr:col>32</xdr:col>
      <xdr:colOff>285750</xdr:colOff>
      <xdr:row>15</xdr:row>
      <xdr:rowOff>71437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532A421-8575-4ED8-BF84-91D9F6AD8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590550</xdr:colOff>
      <xdr:row>1</xdr:row>
      <xdr:rowOff>23812</xdr:rowOff>
    </xdr:from>
    <xdr:to>
      <xdr:col>24</xdr:col>
      <xdr:colOff>285750</xdr:colOff>
      <xdr:row>15</xdr:row>
      <xdr:rowOff>100012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525CBE2A-C813-4001-82B7-E66055A1F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581025</xdr:colOff>
      <xdr:row>0</xdr:row>
      <xdr:rowOff>176212</xdr:rowOff>
    </xdr:from>
    <xdr:to>
      <xdr:col>40</xdr:col>
      <xdr:colOff>276225</xdr:colOff>
      <xdr:row>15</xdr:row>
      <xdr:rowOff>61912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23E921D4-2C95-423E-B4F7-6A2F4283A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D1B16A-0315-47E3-8AE3-9C1BC0F07A2C}" name="Таблица4" displayName="Таблица4" ref="B1:F151" totalsRowShown="0" headerRowDxfId="9" dataDxfId="7" headerRowBorderDxfId="8" tableBorderDxfId="6" totalsRowBorderDxfId="5">
  <autoFilter ref="B1:F151" xr:uid="{F0D1B16A-0315-47E3-8AE3-9C1BC0F07A2C}"/>
  <tableColumns count="5">
    <tableColumn id="1" xr3:uid="{B05A2E13-DA99-4D05-8733-60236F3A63F2}" name="sepal_length" dataDxfId="4"/>
    <tableColumn id="2" xr3:uid="{59AECCBB-A674-4BE1-8FC2-A3C76DA9259E}" name="sepal_width" dataDxfId="3"/>
    <tableColumn id="3" xr3:uid="{4BE11A76-58DE-42B3-8AC3-1F20659798C9}" name="petal_length" dataDxfId="2"/>
    <tableColumn id="4" xr3:uid="{A5088A7E-5A66-4EB1-AC79-137C9B587433}" name="petal_width" dataDxfId="1"/>
    <tableColumn id="5" xr3:uid="{31D7E34D-4D42-409C-A810-6173C273B345}" name="species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AB38B9-E957-4D32-BC63-8C151DA3A6E6}" name="Таблица5" displayName="Таблица5" ref="P31:Q45" totalsRowShown="0">
  <autoFilter ref="P31:Q45" xr:uid="{5DAB38B9-E957-4D32-BC63-8C151DA3A6E6}"/>
  <sortState xmlns:xlrd2="http://schemas.microsoft.com/office/spreadsheetml/2017/richdata2" ref="P32:Q45">
    <sortCondition ref="P33:P45"/>
  </sortState>
  <tableColumns count="2">
    <tableColumn id="1" xr3:uid="{3E967BEC-AFF3-4888-A5B2-87C1A2DC92C1}" name="Расстояние"/>
    <tableColumn id="2" xr3:uid="{BAC07A36-BD16-4FDA-8603-02D134200F0A}" name="Класс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354D5-0737-49EA-818F-8771C971FB0E}" name="Таблица6" displayName="Таблица6" ref="P48:Q62" totalsRowShown="0">
  <autoFilter ref="P48:Q62" xr:uid="{51D354D5-0737-49EA-818F-8771C971FB0E}"/>
  <sortState xmlns:xlrd2="http://schemas.microsoft.com/office/spreadsheetml/2017/richdata2" ref="P49:Q62">
    <sortCondition ref="P49:P62"/>
  </sortState>
  <tableColumns count="2">
    <tableColumn id="1" xr3:uid="{5CECCB2B-FF6F-46C3-9D5E-A51F310542AA}" name="Расстояние"/>
    <tableColumn id="2" xr3:uid="{563F51A9-A4F7-4FA4-B2A3-AC2D6AE7514E}" name="Класс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7A0680-E217-4E26-8E45-693E0B1B4A8E}" name="Таблица7" displayName="Таблица7" ref="P65:Q79" totalsRowShown="0">
  <autoFilter ref="P65:Q79" xr:uid="{FD7A0680-E217-4E26-8E45-693E0B1B4A8E}"/>
  <sortState xmlns:xlrd2="http://schemas.microsoft.com/office/spreadsheetml/2017/richdata2" ref="P66:Q79">
    <sortCondition ref="P67:P79"/>
  </sortState>
  <tableColumns count="2">
    <tableColumn id="1" xr3:uid="{F43DBCBA-0300-4A88-A0E3-6F939AA4B37A}" name="Расстояние"/>
    <tableColumn id="2" xr3:uid="{6EB8CA18-F4C0-4B0F-85C1-B15149E79A22}" name="Класс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B76B99-3735-4375-B183-D4C4B18E5940}" name="Таблица8" displayName="Таблица8" ref="P82:Q96" totalsRowShown="0">
  <autoFilter ref="P82:Q96" xr:uid="{9AB76B99-3735-4375-B183-D4C4B18E5940}"/>
  <sortState xmlns:xlrd2="http://schemas.microsoft.com/office/spreadsheetml/2017/richdata2" ref="P83:Q96">
    <sortCondition ref="P83:P96"/>
  </sortState>
  <tableColumns count="2">
    <tableColumn id="1" xr3:uid="{8D95E672-BFBF-4454-A0C8-239634F22E1E}" name="Расстояние"/>
    <tableColumn id="2" xr3:uid="{6C2DB841-40D0-4E47-8F0F-FB4888913C9A}" name="Класс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95E2C8-AFAE-49CC-88C3-F423829F4AF9}" name="Таблица9" displayName="Таблица9" ref="P99:Q113" totalsRowShown="0">
  <autoFilter ref="P99:Q113" xr:uid="{7195E2C8-AFAE-49CC-88C3-F423829F4AF9}"/>
  <sortState xmlns:xlrd2="http://schemas.microsoft.com/office/spreadsheetml/2017/richdata2" ref="P100:Q113">
    <sortCondition ref="P101:P113"/>
  </sortState>
  <tableColumns count="2">
    <tableColumn id="1" xr3:uid="{87E1C11A-C310-45C3-AC32-43DEE6241A0B}" name="Расстояние"/>
    <tableColumn id="2" xr3:uid="{05592D80-5DAC-422C-AA7C-48A52253A8F4}" name="Класс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10961F-C8D7-425A-948A-51D7FD688F52}" name="Таблица10" displayName="Таблица10" ref="P116:Q130" totalsRowShown="0">
  <autoFilter ref="P116:Q130" xr:uid="{B410961F-C8D7-425A-948A-51D7FD688F52}"/>
  <sortState xmlns:xlrd2="http://schemas.microsoft.com/office/spreadsheetml/2017/richdata2" ref="P117:Q130">
    <sortCondition ref="P117:P130"/>
  </sortState>
  <tableColumns count="2">
    <tableColumn id="1" xr3:uid="{076C5541-447B-4019-A679-2A4AB9C37794}" name="Расстояние"/>
    <tableColumn id="2" xr3:uid="{B0CE9AAF-B9BD-4318-834A-08F1FDA4F8C8}" name="Класс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C7A5C-92BE-4DD0-9E7C-F4E4BC0D6E98}" name="Таблица1" displayName="Таблица1" ref="M31:N45" totalsRowShown="0">
  <autoFilter ref="M31:N45" xr:uid="{A67C7A5C-92BE-4DD0-9E7C-F4E4BC0D6E98}"/>
  <tableColumns count="2">
    <tableColumn id="1" xr3:uid="{C9E79229-4D73-47CE-9306-BC2BE44B8A78}" name="Расстояние">
      <calculatedColumnFormula>SQRT(($N$21 - N3)^2 + ($O$21 - O3)^2)</calculatedColumnFormula>
    </tableColumn>
    <tableColumn id="2" xr3:uid="{0A78D384-8251-4491-B9FD-848CF5F7614B}" name="Класс">
      <calculatedColumnFormula>P3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2732-FE15-4858-89DC-0E345D79BC1D}">
  <dimension ref="B1:AB151"/>
  <sheetViews>
    <sheetView tabSelected="1" topLeftCell="I25" workbookViewId="0">
      <selection activeCell="V44" sqref="V44"/>
    </sheetView>
  </sheetViews>
  <sheetFormatPr defaultRowHeight="15" x14ac:dyDescent="0.25"/>
  <cols>
    <col min="2" max="2" width="14.5703125" customWidth="1"/>
    <col min="3" max="3" width="14" customWidth="1"/>
    <col min="4" max="4" width="14.42578125" customWidth="1"/>
    <col min="5" max="5" width="13.85546875" customWidth="1"/>
    <col min="6" max="6" width="9.7109375" customWidth="1"/>
    <col min="9" max="9" width="14.28515625" customWidth="1"/>
    <col min="10" max="10" width="13" customWidth="1"/>
    <col min="13" max="13" width="13.42578125" customWidth="1"/>
    <col min="14" max="14" width="12.42578125" customWidth="1"/>
    <col min="16" max="16" width="13.42578125" customWidth="1"/>
  </cols>
  <sheetData>
    <row r="1" spans="2:16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I1" s="6" t="s">
        <v>2</v>
      </c>
      <c r="J1" s="6" t="s">
        <v>3</v>
      </c>
      <c r="K1" s="7" t="s">
        <v>4</v>
      </c>
      <c r="M1" s="13" t="s">
        <v>9</v>
      </c>
      <c r="N1" s="13"/>
      <c r="O1" s="13"/>
      <c r="P1" s="13"/>
    </row>
    <row r="2" spans="2:16" x14ac:dyDescent="0.25">
      <c r="B2" s="3">
        <v>5.0999999999999996</v>
      </c>
      <c r="C2" s="3">
        <v>3.5</v>
      </c>
      <c r="D2" s="3">
        <v>1.4</v>
      </c>
      <c r="E2" s="3">
        <v>0.2</v>
      </c>
      <c r="F2" s="3" t="s">
        <v>5</v>
      </c>
      <c r="I2" s="1">
        <v>1.4</v>
      </c>
      <c r="J2" s="1">
        <v>0.2</v>
      </c>
      <c r="K2" s="2" t="s">
        <v>5</v>
      </c>
      <c r="M2" s="8" t="s">
        <v>8</v>
      </c>
      <c r="N2" s="6" t="s">
        <v>2</v>
      </c>
      <c r="O2" s="6" t="s">
        <v>3</v>
      </c>
      <c r="P2" s="7" t="s">
        <v>4</v>
      </c>
    </row>
    <row r="3" spans="2:16" x14ac:dyDescent="0.25">
      <c r="B3" s="1">
        <v>4.9000000000000004</v>
      </c>
      <c r="C3" s="1">
        <v>3</v>
      </c>
      <c r="D3" s="1">
        <v>1.4</v>
      </c>
      <c r="E3" s="1">
        <v>0.2</v>
      </c>
      <c r="F3" s="1" t="s">
        <v>5</v>
      </c>
      <c r="I3" s="1">
        <v>1.4</v>
      </c>
      <c r="J3" s="1">
        <v>0.2</v>
      </c>
      <c r="K3" s="2" t="s">
        <v>5</v>
      </c>
      <c r="M3" s="1">
        <v>1</v>
      </c>
      <c r="N3" s="1">
        <v>1.4</v>
      </c>
      <c r="O3" s="1">
        <v>0.2</v>
      </c>
      <c r="P3" s="2" t="s">
        <v>5</v>
      </c>
    </row>
    <row r="4" spans="2:16" x14ac:dyDescent="0.25">
      <c r="B4" s="3">
        <v>4.7</v>
      </c>
      <c r="C4" s="3">
        <v>3.2</v>
      </c>
      <c r="D4" s="3">
        <v>1.3</v>
      </c>
      <c r="E4" s="3">
        <v>0.2</v>
      </c>
      <c r="F4" s="3" t="s">
        <v>5</v>
      </c>
      <c r="I4" s="1">
        <v>1.3</v>
      </c>
      <c r="J4" s="1">
        <v>0.2</v>
      </c>
      <c r="K4" s="2" t="s">
        <v>5</v>
      </c>
      <c r="M4" s="1">
        <v>2</v>
      </c>
      <c r="N4" s="1">
        <v>1.7</v>
      </c>
      <c r="O4" s="1">
        <v>0.4</v>
      </c>
      <c r="P4" s="2" t="s">
        <v>5</v>
      </c>
    </row>
    <row r="5" spans="2:16" x14ac:dyDescent="0.25">
      <c r="B5" s="1">
        <v>4.5999999999999996</v>
      </c>
      <c r="C5" s="1">
        <v>3.1</v>
      </c>
      <c r="D5" s="1">
        <v>1.5</v>
      </c>
      <c r="E5" s="1">
        <v>0.2</v>
      </c>
      <c r="F5" s="1" t="s">
        <v>5</v>
      </c>
      <c r="I5" s="1">
        <v>1.5</v>
      </c>
      <c r="J5" s="1">
        <v>0.2</v>
      </c>
      <c r="K5" s="2" t="s">
        <v>5</v>
      </c>
      <c r="M5" s="1">
        <v>3</v>
      </c>
      <c r="N5" s="1">
        <v>1.5</v>
      </c>
      <c r="O5" s="1">
        <v>0.1</v>
      </c>
      <c r="P5" s="2" t="s">
        <v>5</v>
      </c>
    </row>
    <row r="6" spans="2:16" x14ac:dyDescent="0.25">
      <c r="B6" s="3">
        <v>5</v>
      </c>
      <c r="C6" s="3">
        <v>3.6</v>
      </c>
      <c r="D6" s="3">
        <v>1.4</v>
      </c>
      <c r="E6" s="3">
        <v>0.2</v>
      </c>
      <c r="F6" s="3" t="s">
        <v>5</v>
      </c>
      <c r="I6" s="1">
        <v>1.4</v>
      </c>
      <c r="J6" s="1">
        <v>0.2</v>
      </c>
      <c r="K6" s="2" t="s">
        <v>5</v>
      </c>
      <c r="M6" s="1">
        <v>4</v>
      </c>
      <c r="N6" s="1">
        <v>1.4</v>
      </c>
      <c r="O6" s="1">
        <v>0.3</v>
      </c>
      <c r="P6" s="2" t="s">
        <v>5</v>
      </c>
    </row>
    <row r="7" spans="2:16" x14ac:dyDescent="0.25">
      <c r="B7" s="1">
        <v>5.4</v>
      </c>
      <c r="C7" s="1">
        <v>3.9</v>
      </c>
      <c r="D7" s="1">
        <v>1.7</v>
      </c>
      <c r="E7" s="1">
        <v>0.4</v>
      </c>
      <c r="F7" s="1" t="s">
        <v>5</v>
      </c>
      <c r="I7" s="1">
        <v>1.7</v>
      </c>
      <c r="J7" s="1">
        <v>0.4</v>
      </c>
      <c r="K7" s="2" t="s">
        <v>5</v>
      </c>
      <c r="M7" s="1">
        <v>5</v>
      </c>
      <c r="N7" s="1">
        <v>4.7</v>
      </c>
      <c r="O7" s="1">
        <v>1.4</v>
      </c>
      <c r="P7" s="2" t="s">
        <v>6</v>
      </c>
    </row>
    <row r="8" spans="2:16" x14ac:dyDescent="0.25">
      <c r="B8" s="3">
        <v>4.5999999999999996</v>
      </c>
      <c r="C8" s="3">
        <v>3.4</v>
      </c>
      <c r="D8" s="3">
        <v>1.4</v>
      </c>
      <c r="E8" s="3">
        <v>0.3</v>
      </c>
      <c r="F8" s="3" t="s">
        <v>5</v>
      </c>
      <c r="I8" s="1">
        <v>1.4</v>
      </c>
      <c r="J8" s="1">
        <v>0.3</v>
      </c>
      <c r="K8" s="2" t="s">
        <v>5</v>
      </c>
      <c r="M8" s="1">
        <v>6</v>
      </c>
      <c r="N8" s="1">
        <v>3.5</v>
      </c>
      <c r="O8" s="1">
        <v>1</v>
      </c>
      <c r="P8" s="2" t="s">
        <v>6</v>
      </c>
    </row>
    <row r="9" spans="2:16" x14ac:dyDescent="0.25">
      <c r="B9" s="1">
        <v>5</v>
      </c>
      <c r="C9" s="1">
        <v>3.4</v>
      </c>
      <c r="D9" s="1">
        <v>1.5</v>
      </c>
      <c r="E9" s="1">
        <v>0.2</v>
      </c>
      <c r="F9" s="1" t="s">
        <v>5</v>
      </c>
      <c r="I9" s="1">
        <v>1.5</v>
      </c>
      <c r="J9" s="1">
        <v>0.2</v>
      </c>
      <c r="K9" s="2" t="s">
        <v>5</v>
      </c>
      <c r="M9" s="1">
        <v>7</v>
      </c>
      <c r="N9" s="1">
        <v>4.8</v>
      </c>
      <c r="O9" s="1">
        <v>1.8</v>
      </c>
      <c r="P9" s="2" t="s">
        <v>6</v>
      </c>
    </row>
    <row r="10" spans="2:16" x14ac:dyDescent="0.25">
      <c r="B10" s="3">
        <v>4.4000000000000004</v>
      </c>
      <c r="C10" s="3">
        <v>2.9</v>
      </c>
      <c r="D10" s="3">
        <v>1.4</v>
      </c>
      <c r="E10" s="3">
        <v>0.2</v>
      </c>
      <c r="F10" s="3" t="s">
        <v>5</v>
      </c>
      <c r="I10" s="1">
        <v>1.4</v>
      </c>
      <c r="J10" s="1">
        <v>0.2</v>
      </c>
      <c r="K10" s="2" t="s">
        <v>5</v>
      </c>
      <c r="M10" s="1">
        <v>8</v>
      </c>
      <c r="N10" s="1">
        <v>3.8</v>
      </c>
      <c r="O10" s="1">
        <v>1.1000000000000001</v>
      </c>
      <c r="P10" s="2" t="s">
        <v>6</v>
      </c>
    </row>
    <row r="11" spans="2:16" x14ac:dyDescent="0.25">
      <c r="B11" s="1">
        <v>4.9000000000000004</v>
      </c>
      <c r="C11" s="1">
        <v>3.1</v>
      </c>
      <c r="D11" s="1">
        <v>1.5</v>
      </c>
      <c r="E11" s="1">
        <v>0.1</v>
      </c>
      <c r="F11" s="1" t="s">
        <v>5</v>
      </c>
      <c r="I11" s="1">
        <v>1.5</v>
      </c>
      <c r="J11" s="1">
        <v>0.1</v>
      </c>
      <c r="K11" s="2" t="s">
        <v>5</v>
      </c>
      <c r="M11" s="1">
        <v>9</v>
      </c>
      <c r="N11" s="1">
        <v>4.4000000000000004</v>
      </c>
      <c r="O11" s="1">
        <v>1.2</v>
      </c>
      <c r="P11" s="2" t="s">
        <v>6</v>
      </c>
    </row>
    <row r="12" spans="2:16" x14ac:dyDescent="0.25">
      <c r="B12" s="3">
        <v>5.4</v>
      </c>
      <c r="C12" s="3">
        <v>3.7</v>
      </c>
      <c r="D12" s="3">
        <v>1.5</v>
      </c>
      <c r="E12" s="3">
        <v>0.2</v>
      </c>
      <c r="F12" s="3" t="s">
        <v>5</v>
      </c>
      <c r="I12" s="1">
        <v>1.5</v>
      </c>
      <c r="J12" s="1">
        <v>0.2</v>
      </c>
      <c r="K12" s="2" t="s">
        <v>5</v>
      </c>
      <c r="M12" s="1">
        <v>10</v>
      </c>
      <c r="N12" s="1">
        <v>6</v>
      </c>
      <c r="O12" s="1">
        <v>2.5</v>
      </c>
      <c r="P12" s="2" t="s">
        <v>7</v>
      </c>
    </row>
    <row r="13" spans="2:16" x14ac:dyDescent="0.25">
      <c r="B13" s="1">
        <v>4.8</v>
      </c>
      <c r="C13" s="1">
        <v>3.4</v>
      </c>
      <c r="D13" s="1">
        <v>1.6</v>
      </c>
      <c r="E13" s="1">
        <v>0.2</v>
      </c>
      <c r="F13" s="1" t="s">
        <v>5</v>
      </c>
      <c r="I13" s="1">
        <v>1.6</v>
      </c>
      <c r="J13" s="1">
        <v>0.2</v>
      </c>
      <c r="K13" s="2" t="s">
        <v>5</v>
      </c>
      <c r="M13" s="1">
        <v>11</v>
      </c>
      <c r="N13" s="1">
        <v>5.0999999999999996</v>
      </c>
      <c r="O13" s="1">
        <v>2</v>
      </c>
      <c r="P13" s="2" t="s">
        <v>7</v>
      </c>
    </row>
    <row r="14" spans="2:16" x14ac:dyDescent="0.25">
      <c r="B14" s="3">
        <v>4.8</v>
      </c>
      <c r="C14" s="3">
        <v>3</v>
      </c>
      <c r="D14" s="3">
        <v>1.4</v>
      </c>
      <c r="E14" s="3">
        <v>0.1</v>
      </c>
      <c r="F14" s="3" t="s">
        <v>5</v>
      </c>
      <c r="I14" s="1">
        <v>1.4</v>
      </c>
      <c r="J14" s="1">
        <v>0.1</v>
      </c>
      <c r="K14" s="2" t="s">
        <v>5</v>
      </c>
      <c r="M14" s="1">
        <v>12</v>
      </c>
      <c r="N14" s="1">
        <v>5.7</v>
      </c>
      <c r="O14" s="1">
        <v>2.2999999999999998</v>
      </c>
      <c r="P14" s="2" t="s">
        <v>7</v>
      </c>
    </row>
    <row r="15" spans="2:16" x14ac:dyDescent="0.25">
      <c r="B15" s="1">
        <v>4.3</v>
      </c>
      <c r="C15" s="1">
        <v>3</v>
      </c>
      <c r="D15" s="1">
        <v>1.1000000000000001</v>
      </c>
      <c r="E15" s="1">
        <v>0.1</v>
      </c>
      <c r="F15" s="1" t="s">
        <v>5</v>
      </c>
      <c r="I15" s="1">
        <v>1.1000000000000001</v>
      </c>
      <c r="J15" s="1">
        <v>0.1</v>
      </c>
      <c r="K15" s="2" t="s">
        <v>5</v>
      </c>
      <c r="M15" s="1">
        <v>13</v>
      </c>
      <c r="N15" s="1">
        <v>6.1</v>
      </c>
      <c r="O15" s="1">
        <v>1.9</v>
      </c>
      <c r="P15" s="2" t="s">
        <v>7</v>
      </c>
    </row>
    <row r="16" spans="2:16" x14ac:dyDescent="0.25">
      <c r="B16" s="3">
        <v>5.8</v>
      </c>
      <c r="C16" s="3">
        <v>4</v>
      </c>
      <c r="D16" s="3">
        <v>1.2</v>
      </c>
      <c r="E16" s="3">
        <v>0.2</v>
      </c>
      <c r="F16" s="3" t="s">
        <v>5</v>
      </c>
      <c r="I16" s="1">
        <v>1.2</v>
      </c>
      <c r="J16" s="1">
        <v>0.2</v>
      </c>
      <c r="K16" s="2" t="s">
        <v>5</v>
      </c>
      <c r="M16" s="1">
        <v>14</v>
      </c>
      <c r="N16" s="1">
        <v>5.6</v>
      </c>
      <c r="O16" s="1">
        <v>2.4</v>
      </c>
      <c r="P16" s="2" t="s">
        <v>7</v>
      </c>
    </row>
    <row r="17" spans="2:28" x14ac:dyDescent="0.25">
      <c r="B17" s="1">
        <v>5.7</v>
      </c>
      <c r="C17" s="1">
        <v>4.4000000000000004</v>
      </c>
      <c r="D17" s="1">
        <v>1.5</v>
      </c>
      <c r="E17" s="1">
        <v>0.4</v>
      </c>
      <c r="F17" s="1" t="s">
        <v>5</v>
      </c>
      <c r="I17" s="1">
        <v>1.5</v>
      </c>
      <c r="J17" s="1">
        <v>0.4</v>
      </c>
      <c r="K17" s="2" t="s">
        <v>5</v>
      </c>
    </row>
    <row r="18" spans="2:28" x14ac:dyDescent="0.25">
      <c r="B18" s="3">
        <v>5.4</v>
      </c>
      <c r="C18" s="3">
        <v>3.9</v>
      </c>
      <c r="D18" s="3">
        <v>1.3</v>
      </c>
      <c r="E18" s="3">
        <v>0.4</v>
      </c>
      <c r="F18" s="3" t="s">
        <v>5</v>
      </c>
      <c r="I18" s="1">
        <v>1.3</v>
      </c>
      <c r="J18" s="1">
        <v>0.4</v>
      </c>
      <c r="K18" s="2" t="s">
        <v>5</v>
      </c>
    </row>
    <row r="19" spans="2:28" x14ac:dyDescent="0.25">
      <c r="B19" s="1">
        <v>5.0999999999999996</v>
      </c>
      <c r="C19" s="1">
        <v>3.5</v>
      </c>
      <c r="D19" s="1">
        <v>1.4</v>
      </c>
      <c r="E19" s="1">
        <v>0.3</v>
      </c>
      <c r="F19" s="1" t="s">
        <v>5</v>
      </c>
      <c r="I19" s="1">
        <v>1.4</v>
      </c>
      <c r="J19" s="1">
        <v>0.3</v>
      </c>
      <c r="K19" s="2" t="s">
        <v>5</v>
      </c>
      <c r="M19" s="13" t="s">
        <v>10</v>
      </c>
      <c r="N19" s="13"/>
      <c r="O19" s="13"/>
      <c r="P19" s="13"/>
    </row>
    <row r="20" spans="2:28" x14ac:dyDescent="0.25">
      <c r="B20" s="3">
        <v>5.7</v>
      </c>
      <c r="C20" s="3">
        <v>3.8</v>
      </c>
      <c r="D20" s="3">
        <v>1.7</v>
      </c>
      <c r="E20" s="3">
        <v>0.3</v>
      </c>
      <c r="F20" s="3" t="s">
        <v>5</v>
      </c>
      <c r="I20" s="1">
        <v>1.7</v>
      </c>
      <c r="J20" s="1">
        <v>0.3</v>
      </c>
      <c r="K20" s="2" t="s">
        <v>5</v>
      </c>
      <c r="M20" s="8" t="s">
        <v>8</v>
      </c>
      <c r="N20" s="6" t="s">
        <v>2</v>
      </c>
      <c r="O20" s="6" t="s">
        <v>3</v>
      </c>
      <c r="P20" s="7" t="s">
        <v>4</v>
      </c>
    </row>
    <row r="21" spans="2:28" x14ac:dyDescent="0.25">
      <c r="B21" s="1">
        <v>5.0999999999999996</v>
      </c>
      <c r="C21" s="1">
        <v>3.8</v>
      </c>
      <c r="D21" s="1">
        <v>1.5</v>
      </c>
      <c r="E21" s="1">
        <v>0.3</v>
      </c>
      <c r="F21" s="1" t="s">
        <v>5</v>
      </c>
      <c r="I21" s="1">
        <v>1.5</v>
      </c>
      <c r="J21" s="1">
        <v>0.3</v>
      </c>
      <c r="K21" s="2" t="s">
        <v>5</v>
      </c>
      <c r="M21" s="1">
        <v>1</v>
      </c>
      <c r="N21" s="1">
        <v>1.5</v>
      </c>
      <c r="O21" s="1">
        <v>0.2</v>
      </c>
      <c r="P21" s="2" t="s">
        <v>5</v>
      </c>
    </row>
    <row r="22" spans="2:28" x14ac:dyDescent="0.25">
      <c r="B22" s="3">
        <v>5.4</v>
      </c>
      <c r="C22" s="3">
        <v>3.4</v>
      </c>
      <c r="D22" s="3">
        <v>1.7</v>
      </c>
      <c r="E22" s="3">
        <v>0.2</v>
      </c>
      <c r="F22" s="3" t="s">
        <v>5</v>
      </c>
      <c r="I22" s="1">
        <v>1.7</v>
      </c>
      <c r="J22" s="1">
        <v>0.2</v>
      </c>
      <c r="K22" s="2" t="s">
        <v>5</v>
      </c>
      <c r="M22" s="1">
        <v>2</v>
      </c>
      <c r="N22" s="1">
        <v>1.7</v>
      </c>
      <c r="O22" s="1">
        <v>0.5</v>
      </c>
      <c r="P22" s="2" t="s">
        <v>5</v>
      </c>
    </row>
    <row r="23" spans="2:28" x14ac:dyDescent="0.25">
      <c r="B23" s="1">
        <v>5.0999999999999996</v>
      </c>
      <c r="C23" s="1">
        <v>3.7</v>
      </c>
      <c r="D23" s="1">
        <v>1.5</v>
      </c>
      <c r="E23" s="1">
        <v>0.4</v>
      </c>
      <c r="F23" s="1" t="s">
        <v>5</v>
      </c>
      <c r="I23" s="1">
        <v>1.5</v>
      </c>
      <c r="J23" s="1">
        <v>0.4</v>
      </c>
      <c r="K23" s="2" t="s">
        <v>5</v>
      </c>
      <c r="M23" s="1">
        <v>3</v>
      </c>
      <c r="N23" s="1">
        <v>4.5</v>
      </c>
      <c r="O23" s="1">
        <v>1.3</v>
      </c>
      <c r="P23" s="2" t="s">
        <v>6</v>
      </c>
    </row>
    <row r="24" spans="2:28" x14ac:dyDescent="0.25">
      <c r="B24" s="3">
        <v>4.5999999999999996</v>
      </c>
      <c r="C24" s="3">
        <v>3.6</v>
      </c>
      <c r="D24" s="3">
        <v>1</v>
      </c>
      <c r="E24" s="3">
        <v>0.2</v>
      </c>
      <c r="F24" s="3" t="s">
        <v>5</v>
      </c>
      <c r="I24" s="1">
        <v>1</v>
      </c>
      <c r="J24" s="1">
        <v>0.2</v>
      </c>
      <c r="K24" s="2" t="s">
        <v>5</v>
      </c>
      <c r="M24" s="1">
        <v>4</v>
      </c>
      <c r="N24" s="1">
        <v>3.3</v>
      </c>
      <c r="O24" s="1">
        <v>1</v>
      </c>
      <c r="P24" s="2" t="s">
        <v>6</v>
      </c>
    </row>
    <row r="25" spans="2:28" x14ac:dyDescent="0.25">
      <c r="B25" s="1">
        <v>5.0999999999999996</v>
      </c>
      <c r="C25" s="1">
        <v>3.3</v>
      </c>
      <c r="D25" s="1">
        <v>1.7</v>
      </c>
      <c r="E25" s="1">
        <v>0.5</v>
      </c>
      <c r="F25" s="1" t="s">
        <v>5</v>
      </c>
      <c r="I25" s="1">
        <v>1.7</v>
      </c>
      <c r="J25" s="1">
        <v>0.5</v>
      </c>
      <c r="K25" s="2" t="s">
        <v>5</v>
      </c>
      <c r="M25" s="1">
        <v>5</v>
      </c>
      <c r="N25" s="1">
        <v>5.9</v>
      </c>
      <c r="O25" s="1">
        <v>2.2999999999999998</v>
      </c>
      <c r="P25" s="2" t="s">
        <v>7</v>
      </c>
    </row>
    <row r="26" spans="2:28" x14ac:dyDescent="0.25">
      <c r="B26" s="3">
        <v>4.8</v>
      </c>
      <c r="C26" s="3">
        <v>3.4</v>
      </c>
      <c r="D26" s="3">
        <v>1.9</v>
      </c>
      <c r="E26" s="3">
        <v>0.2</v>
      </c>
      <c r="F26" s="3" t="s">
        <v>5</v>
      </c>
      <c r="I26" s="1">
        <v>1.9</v>
      </c>
      <c r="J26" s="1">
        <v>0.2</v>
      </c>
      <c r="K26" s="2" t="s">
        <v>5</v>
      </c>
      <c r="M26" s="1">
        <v>6</v>
      </c>
      <c r="N26" s="1">
        <v>4.9000000000000004</v>
      </c>
      <c r="O26" s="1">
        <v>1.8</v>
      </c>
      <c r="P26" s="2" t="s">
        <v>7</v>
      </c>
    </row>
    <row r="27" spans="2:28" x14ac:dyDescent="0.25">
      <c r="B27" s="1">
        <v>5</v>
      </c>
      <c r="C27" s="1">
        <v>3</v>
      </c>
      <c r="D27" s="1">
        <v>1.6</v>
      </c>
      <c r="E27" s="1">
        <v>0.2</v>
      </c>
      <c r="F27" s="1" t="s">
        <v>5</v>
      </c>
      <c r="I27" s="1">
        <v>1.6</v>
      </c>
      <c r="J27" s="1">
        <v>0.2</v>
      </c>
      <c r="K27" s="2" t="s">
        <v>5</v>
      </c>
    </row>
    <row r="28" spans="2:28" x14ac:dyDescent="0.25">
      <c r="B28" s="3">
        <v>5</v>
      </c>
      <c r="C28" s="3">
        <v>3.4</v>
      </c>
      <c r="D28" s="3">
        <v>1.6</v>
      </c>
      <c r="E28" s="3">
        <v>0.4</v>
      </c>
      <c r="F28" s="3" t="s">
        <v>5</v>
      </c>
      <c r="I28" s="1">
        <v>1.6</v>
      </c>
      <c r="J28" s="1">
        <v>0.4</v>
      </c>
      <c r="K28" s="2" t="s">
        <v>5</v>
      </c>
    </row>
    <row r="29" spans="2:28" x14ac:dyDescent="0.25">
      <c r="B29" s="1">
        <v>5.2</v>
      </c>
      <c r="C29" s="1">
        <v>3.5</v>
      </c>
      <c r="D29" s="1">
        <v>1.5</v>
      </c>
      <c r="E29" s="1">
        <v>0.2</v>
      </c>
      <c r="F29" s="1" t="s">
        <v>5</v>
      </c>
      <c r="I29" s="1">
        <v>1.5</v>
      </c>
      <c r="J29" s="1">
        <v>0.2</v>
      </c>
      <c r="K29" s="2" t="s">
        <v>5</v>
      </c>
      <c r="M29" s="10"/>
      <c r="N29" s="10"/>
      <c r="O29" s="10"/>
      <c r="P29" s="10"/>
    </row>
    <row r="30" spans="2:28" x14ac:dyDescent="0.25">
      <c r="B30" s="3">
        <v>5.2</v>
      </c>
      <c r="C30" s="3">
        <v>3.4</v>
      </c>
      <c r="D30" s="3">
        <v>1.4</v>
      </c>
      <c r="E30" s="3">
        <v>0.2</v>
      </c>
      <c r="F30" s="3" t="s">
        <v>5</v>
      </c>
      <c r="I30" s="1">
        <v>1.4</v>
      </c>
      <c r="J30" s="1">
        <v>0.2</v>
      </c>
      <c r="K30" s="2" t="s">
        <v>5</v>
      </c>
      <c r="M30" t="s">
        <v>14</v>
      </c>
      <c r="V30" s="9"/>
      <c r="W30" s="10"/>
      <c r="X30" s="10"/>
      <c r="Y30" s="10"/>
      <c r="Z30" s="10"/>
    </row>
    <row r="31" spans="2:28" x14ac:dyDescent="0.25">
      <c r="B31" s="1">
        <v>4.7</v>
      </c>
      <c r="C31" s="1">
        <v>3.2</v>
      </c>
      <c r="D31" s="1">
        <v>1.6</v>
      </c>
      <c r="E31" s="1">
        <v>0.2</v>
      </c>
      <c r="F31" s="1" t="s">
        <v>5</v>
      </c>
      <c r="I31" s="1">
        <v>1.6</v>
      </c>
      <c r="J31" s="1">
        <v>0.2</v>
      </c>
      <c r="K31" s="2" t="s">
        <v>5</v>
      </c>
      <c r="M31" t="s">
        <v>12</v>
      </c>
      <c r="N31" t="s">
        <v>13</v>
      </c>
      <c r="P31" t="s">
        <v>12</v>
      </c>
      <c r="Q31" t="s">
        <v>13</v>
      </c>
      <c r="S31" t="s">
        <v>20</v>
      </c>
      <c r="T31" t="s">
        <v>13</v>
      </c>
      <c r="V31" s="11" t="s">
        <v>11</v>
      </c>
      <c r="X31" t="s">
        <v>25</v>
      </c>
      <c r="Y31" t="s">
        <v>26</v>
      </c>
      <c r="Z31" t="s">
        <v>27</v>
      </c>
      <c r="AA31" s="11" t="s">
        <v>28</v>
      </c>
      <c r="AB31" s="11" t="s">
        <v>29</v>
      </c>
    </row>
    <row r="32" spans="2:28" x14ac:dyDescent="0.25">
      <c r="B32" s="3">
        <v>4.8</v>
      </c>
      <c r="C32" s="3">
        <v>3.1</v>
      </c>
      <c r="D32" s="3">
        <v>1.6</v>
      </c>
      <c r="E32" s="3">
        <v>0.2</v>
      </c>
      <c r="F32" s="3" t="s">
        <v>5</v>
      </c>
      <c r="I32" s="1">
        <v>1.6</v>
      </c>
      <c r="J32" s="1">
        <v>0.2</v>
      </c>
      <c r="K32" s="2" t="s">
        <v>5</v>
      </c>
      <c r="M32">
        <f>SQRT(($N$21 - N3)^2 + ($O$21 - O3)^2)</f>
        <v>0.10000000000000009</v>
      </c>
      <c r="N32" t="str">
        <f>P3</f>
        <v>setosa</v>
      </c>
      <c r="P32">
        <v>0.1</v>
      </c>
      <c r="Q32" t="s">
        <v>5</v>
      </c>
      <c r="S32">
        <v>3</v>
      </c>
      <c r="T32" t="s">
        <v>5</v>
      </c>
      <c r="V32" s="11"/>
      <c r="W32" t="s">
        <v>22</v>
      </c>
      <c r="X32">
        <v>2</v>
      </c>
      <c r="Y32">
        <v>0</v>
      </c>
      <c r="Z32">
        <v>0</v>
      </c>
      <c r="AA32">
        <f>X32/SUM(X32:Z32)</f>
        <v>1</v>
      </c>
      <c r="AB32" s="12">
        <f>AVERAGE(AA32:AA34)</f>
        <v>0.88888888888888884</v>
      </c>
    </row>
    <row r="33" spans="2:28" x14ac:dyDescent="0.25">
      <c r="B33" s="1">
        <v>5.4</v>
      </c>
      <c r="C33" s="1">
        <v>3.4</v>
      </c>
      <c r="D33" s="1">
        <v>1.5</v>
      </c>
      <c r="E33" s="1">
        <v>0.4</v>
      </c>
      <c r="F33" s="1" t="s">
        <v>5</v>
      </c>
      <c r="I33" s="1">
        <v>1.5</v>
      </c>
      <c r="J33" s="1">
        <v>0.4</v>
      </c>
      <c r="K33" s="2" t="s">
        <v>5</v>
      </c>
      <c r="M33">
        <f t="shared" ref="M33:M35" si="0">SQRT(($N$21 - N4)^2 + ($O$21 - O4)^2)</f>
        <v>0.28284271247461901</v>
      </c>
      <c r="N33" t="str">
        <f t="shared" ref="N33:N35" si="1">P4</f>
        <v>setosa</v>
      </c>
      <c r="P33">
        <v>0.10000000000000009</v>
      </c>
      <c r="Q33" t="s">
        <v>5</v>
      </c>
      <c r="S33">
        <v>4</v>
      </c>
      <c r="T33" t="s">
        <v>5</v>
      </c>
      <c r="V33" s="11"/>
      <c r="W33" t="s">
        <v>23</v>
      </c>
      <c r="X33">
        <v>0</v>
      </c>
      <c r="Y33">
        <v>2</v>
      </c>
      <c r="Z33">
        <v>1</v>
      </c>
      <c r="AA33">
        <f>Y33/SUM(X33:Z33)</f>
        <v>0.66666666666666663</v>
      </c>
      <c r="AB33" s="12"/>
    </row>
    <row r="34" spans="2:28" x14ac:dyDescent="0.25">
      <c r="B34" s="3">
        <v>5.2</v>
      </c>
      <c r="C34" s="3">
        <v>4.0999999999999996</v>
      </c>
      <c r="D34" s="3">
        <v>1.5</v>
      </c>
      <c r="E34" s="3">
        <v>0.1</v>
      </c>
      <c r="F34" s="3" t="s">
        <v>5</v>
      </c>
      <c r="I34" s="1">
        <v>1.5</v>
      </c>
      <c r="J34" s="1">
        <v>0.1</v>
      </c>
      <c r="K34" s="2" t="s">
        <v>5</v>
      </c>
      <c r="M34">
        <f t="shared" si="0"/>
        <v>0.1</v>
      </c>
      <c r="N34" t="str">
        <f t="shared" si="1"/>
        <v>setosa</v>
      </c>
      <c r="P34">
        <v>0.14142135623730953</v>
      </c>
      <c r="Q34" t="s">
        <v>5</v>
      </c>
      <c r="V34" s="11"/>
      <c r="W34" t="s">
        <v>24</v>
      </c>
      <c r="X34">
        <v>0</v>
      </c>
      <c r="Y34">
        <v>0</v>
      </c>
      <c r="Z34">
        <v>1</v>
      </c>
      <c r="AA34">
        <f>Z34/SUM(X34:Z34)</f>
        <v>1</v>
      </c>
      <c r="AB34" s="12"/>
    </row>
    <row r="35" spans="2:28" x14ac:dyDescent="0.25">
      <c r="B35" s="1">
        <v>5.5</v>
      </c>
      <c r="C35" s="1">
        <v>4.2</v>
      </c>
      <c r="D35" s="1">
        <v>1.4</v>
      </c>
      <c r="E35" s="1">
        <v>0.2</v>
      </c>
      <c r="F35" s="1" t="s">
        <v>5</v>
      </c>
      <c r="I35" s="1">
        <v>1.4</v>
      </c>
      <c r="J35" s="1">
        <v>0.2</v>
      </c>
      <c r="K35" s="2" t="s">
        <v>5</v>
      </c>
      <c r="M35">
        <f t="shared" si="0"/>
        <v>0.14142135623730953</v>
      </c>
      <c r="N35" t="str">
        <f t="shared" si="1"/>
        <v>setosa</v>
      </c>
      <c r="P35">
        <v>0.28284271247461901</v>
      </c>
      <c r="Q35" t="s">
        <v>5</v>
      </c>
    </row>
    <row r="36" spans="2:28" x14ac:dyDescent="0.25">
      <c r="B36" s="3">
        <v>4.9000000000000004</v>
      </c>
      <c r="C36" s="3">
        <v>3.1</v>
      </c>
      <c r="D36" s="3">
        <v>1.5</v>
      </c>
      <c r="E36" s="3">
        <v>0.1</v>
      </c>
      <c r="F36" s="3" t="s">
        <v>5</v>
      </c>
      <c r="I36" s="1">
        <v>1.5</v>
      </c>
      <c r="J36" s="1">
        <v>0.1</v>
      </c>
      <c r="K36" s="2" t="s">
        <v>5</v>
      </c>
      <c r="M36">
        <f t="shared" ref="M36:M45" si="2">SQRT(($N$21 - N7)^2 + ($O$21 - O7)^2)</f>
        <v>3.4176014981270129</v>
      </c>
      <c r="N36" t="str">
        <f t="shared" ref="N36:N45" si="3">P7</f>
        <v>versicolor</v>
      </c>
      <c r="P36">
        <v>2.1540659228538019</v>
      </c>
      <c r="Q36" t="s">
        <v>6</v>
      </c>
    </row>
    <row r="37" spans="2:28" x14ac:dyDescent="0.25">
      <c r="B37" s="1">
        <v>5</v>
      </c>
      <c r="C37" s="1">
        <v>3.2</v>
      </c>
      <c r="D37" s="1">
        <v>1.2</v>
      </c>
      <c r="E37" s="1">
        <v>0.2</v>
      </c>
      <c r="F37" s="1" t="s">
        <v>5</v>
      </c>
      <c r="I37" s="1">
        <v>1.2</v>
      </c>
      <c r="J37" s="1">
        <v>0.2</v>
      </c>
      <c r="K37" s="2" t="s">
        <v>5</v>
      </c>
      <c r="M37">
        <f t="shared" si="2"/>
        <v>2.1540659228538019</v>
      </c>
      <c r="N37" t="str">
        <f t="shared" si="3"/>
        <v>versicolor</v>
      </c>
      <c r="P37">
        <v>2.4698178070456938</v>
      </c>
      <c r="Q37" t="s">
        <v>6</v>
      </c>
      <c r="V37" s="11" t="s">
        <v>30</v>
      </c>
      <c r="X37" t="s">
        <v>25</v>
      </c>
      <c r="Y37" t="s">
        <v>26</v>
      </c>
      <c r="Z37" t="s">
        <v>27</v>
      </c>
      <c r="AA37" s="11" t="s">
        <v>28</v>
      </c>
      <c r="AB37" s="11" t="s">
        <v>29</v>
      </c>
    </row>
    <row r="38" spans="2:28" x14ac:dyDescent="0.25">
      <c r="B38" s="3">
        <v>5.5</v>
      </c>
      <c r="C38" s="3">
        <v>3.5</v>
      </c>
      <c r="D38" s="3">
        <v>1.3</v>
      </c>
      <c r="E38" s="3">
        <v>0.2</v>
      </c>
      <c r="F38" s="3" t="s">
        <v>5</v>
      </c>
      <c r="I38" s="1">
        <v>1.3</v>
      </c>
      <c r="J38" s="1">
        <v>0.2</v>
      </c>
      <c r="K38" s="2" t="s">
        <v>5</v>
      </c>
      <c r="M38">
        <f t="shared" si="2"/>
        <v>3.6674241641784495</v>
      </c>
      <c r="N38" t="str">
        <f t="shared" si="3"/>
        <v>versicolor</v>
      </c>
      <c r="P38">
        <v>3.0675723300355937</v>
      </c>
      <c r="Q38" t="s">
        <v>6</v>
      </c>
      <c r="V38" s="11"/>
      <c r="W38" t="s">
        <v>22</v>
      </c>
      <c r="X38">
        <v>2</v>
      </c>
      <c r="Y38">
        <v>0</v>
      </c>
      <c r="Z38">
        <v>0</v>
      </c>
      <c r="AA38">
        <f>X38/SUM(X38:Z38)</f>
        <v>1</v>
      </c>
      <c r="AB38" s="12">
        <f>AVERAGE(AA38:AA40)</f>
        <v>0.88888888888888884</v>
      </c>
    </row>
    <row r="39" spans="2:28" x14ac:dyDescent="0.25">
      <c r="B39" s="1">
        <v>4.9000000000000004</v>
      </c>
      <c r="C39" s="1">
        <v>3.1</v>
      </c>
      <c r="D39" s="1">
        <v>1.5</v>
      </c>
      <c r="E39" s="1">
        <v>0.1</v>
      </c>
      <c r="F39" s="1" t="s">
        <v>5</v>
      </c>
      <c r="I39" s="1">
        <v>1.5</v>
      </c>
      <c r="J39" s="1">
        <v>0.1</v>
      </c>
      <c r="K39" s="2" t="s">
        <v>5</v>
      </c>
      <c r="M39">
        <f t="shared" si="2"/>
        <v>2.4698178070456938</v>
      </c>
      <c r="N39" t="str">
        <f t="shared" si="3"/>
        <v>versicolor</v>
      </c>
      <c r="P39">
        <v>3.4176014981270129</v>
      </c>
      <c r="Q39" t="s">
        <v>6</v>
      </c>
      <c r="V39" s="11"/>
      <c r="W39" t="s">
        <v>23</v>
      </c>
      <c r="X39">
        <v>0</v>
      </c>
      <c r="Y39">
        <v>2</v>
      </c>
      <c r="Z39">
        <v>1</v>
      </c>
      <c r="AA39">
        <f>Y39/SUM(X39:Z39)</f>
        <v>0.66666666666666663</v>
      </c>
      <c r="AB39" s="12"/>
    </row>
    <row r="40" spans="2:28" x14ac:dyDescent="0.25">
      <c r="B40" s="3">
        <v>4.4000000000000004</v>
      </c>
      <c r="C40" s="3">
        <v>3</v>
      </c>
      <c r="D40" s="3">
        <v>1.3</v>
      </c>
      <c r="E40" s="3">
        <v>0.2</v>
      </c>
      <c r="F40" s="3" t="s">
        <v>5</v>
      </c>
      <c r="I40" s="1">
        <v>1.3</v>
      </c>
      <c r="J40" s="1">
        <v>0.2</v>
      </c>
      <c r="K40" s="2" t="s">
        <v>5</v>
      </c>
      <c r="M40">
        <f t="shared" si="2"/>
        <v>3.0675723300355937</v>
      </c>
      <c r="N40" t="str">
        <f t="shared" si="3"/>
        <v>versicolor</v>
      </c>
      <c r="P40">
        <v>3.6674241641784495</v>
      </c>
      <c r="Q40" t="s">
        <v>6</v>
      </c>
      <c r="V40" s="11"/>
      <c r="W40" t="s">
        <v>24</v>
      </c>
      <c r="X40">
        <v>0</v>
      </c>
      <c r="Y40">
        <v>0</v>
      </c>
      <c r="Z40">
        <v>1</v>
      </c>
      <c r="AA40">
        <f>Z40/SUM(X40:Z40)</f>
        <v>1</v>
      </c>
      <c r="AB40" s="12"/>
    </row>
    <row r="41" spans="2:28" x14ac:dyDescent="0.25">
      <c r="B41" s="1">
        <v>5.0999999999999996</v>
      </c>
      <c r="C41" s="1">
        <v>3.4</v>
      </c>
      <c r="D41" s="1">
        <v>1.5</v>
      </c>
      <c r="E41" s="1">
        <v>0.2</v>
      </c>
      <c r="F41" s="1" t="s">
        <v>5</v>
      </c>
      <c r="I41" s="1">
        <v>1.5</v>
      </c>
      <c r="J41" s="1">
        <v>0.2</v>
      </c>
      <c r="K41" s="2" t="s">
        <v>5</v>
      </c>
      <c r="M41">
        <f t="shared" si="2"/>
        <v>5.0537115073973107</v>
      </c>
      <c r="N41" t="str">
        <f t="shared" si="3"/>
        <v>virginica</v>
      </c>
      <c r="P41">
        <v>4.0249223594996213</v>
      </c>
      <c r="Q41" t="s">
        <v>7</v>
      </c>
    </row>
    <row r="42" spans="2:28" x14ac:dyDescent="0.25">
      <c r="B42" s="3">
        <v>5</v>
      </c>
      <c r="C42" s="3">
        <v>3.5</v>
      </c>
      <c r="D42" s="3">
        <v>1.3</v>
      </c>
      <c r="E42" s="3">
        <v>0.3</v>
      </c>
      <c r="F42" s="3" t="s">
        <v>5</v>
      </c>
      <c r="I42" s="1">
        <v>1.3</v>
      </c>
      <c r="J42" s="1">
        <v>0.3</v>
      </c>
      <c r="K42" s="2" t="s">
        <v>5</v>
      </c>
      <c r="M42">
        <f t="shared" si="2"/>
        <v>4.0249223594996213</v>
      </c>
      <c r="N42" t="str">
        <f t="shared" si="3"/>
        <v>virginica</v>
      </c>
      <c r="P42">
        <v>4.6529560496527367</v>
      </c>
      <c r="Q42" t="s">
        <v>7</v>
      </c>
    </row>
    <row r="43" spans="2:28" x14ac:dyDescent="0.25">
      <c r="B43" s="1">
        <v>4.5</v>
      </c>
      <c r="C43" s="1">
        <v>2.2999999999999998</v>
      </c>
      <c r="D43" s="1">
        <v>1.3</v>
      </c>
      <c r="E43" s="1">
        <v>0.3</v>
      </c>
      <c r="F43" s="1" t="s">
        <v>5</v>
      </c>
      <c r="I43" s="1">
        <v>1.3</v>
      </c>
      <c r="J43" s="1">
        <v>0.3</v>
      </c>
      <c r="K43" s="2" t="s">
        <v>5</v>
      </c>
      <c r="M43">
        <f t="shared" si="2"/>
        <v>4.6957427527495579</v>
      </c>
      <c r="N43" t="str">
        <f t="shared" si="3"/>
        <v>virginica</v>
      </c>
      <c r="P43">
        <v>4.6957427527495579</v>
      </c>
      <c r="Q43" t="s">
        <v>7</v>
      </c>
    </row>
    <row r="44" spans="2:28" x14ac:dyDescent="0.25">
      <c r="B44" s="3">
        <v>4.4000000000000004</v>
      </c>
      <c r="C44" s="3">
        <v>3.2</v>
      </c>
      <c r="D44" s="3">
        <v>1.3</v>
      </c>
      <c r="E44" s="3">
        <v>0.2</v>
      </c>
      <c r="F44" s="3" t="s">
        <v>5</v>
      </c>
      <c r="I44" s="1">
        <v>1.3</v>
      </c>
      <c r="J44" s="1">
        <v>0.2</v>
      </c>
      <c r="K44" s="2" t="s">
        <v>5</v>
      </c>
      <c r="M44">
        <f t="shared" si="2"/>
        <v>4.9040799340956909</v>
      </c>
      <c r="N44" t="str">
        <f t="shared" si="3"/>
        <v>virginica</v>
      </c>
      <c r="P44">
        <v>4.9040799340956909</v>
      </c>
      <c r="Q44" t="s">
        <v>7</v>
      </c>
    </row>
    <row r="45" spans="2:28" x14ac:dyDescent="0.25">
      <c r="B45" s="1">
        <v>5</v>
      </c>
      <c r="C45" s="1">
        <v>3.5</v>
      </c>
      <c r="D45" s="1">
        <v>1.6</v>
      </c>
      <c r="E45" s="1">
        <v>0.6</v>
      </c>
      <c r="F45" s="1" t="s">
        <v>5</v>
      </c>
      <c r="I45" s="1">
        <v>1.6</v>
      </c>
      <c r="J45" s="1">
        <v>0.6</v>
      </c>
      <c r="K45" s="2" t="s">
        <v>5</v>
      </c>
      <c r="M45">
        <f t="shared" si="2"/>
        <v>4.6529560496527367</v>
      </c>
      <c r="N45" t="str">
        <f t="shared" si="3"/>
        <v>virginica</v>
      </c>
      <c r="P45">
        <v>5.0537115073973107</v>
      </c>
      <c r="Q45" t="s">
        <v>7</v>
      </c>
    </row>
    <row r="46" spans="2:28" x14ac:dyDescent="0.25">
      <c r="B46" s="3">
        <v>5.0999999999999996</v>
      </c>
      <c r="C46" s="3">
        <v>3.8</v>
      </c>
      <c r="D46" s="3">
        <v>1.9</v>
      </c>
      <c r="E46" s="3">
        <v>0.4</v>
      </c>
      <c r="F46" s="3" t="s">
        <v>5</v>
      </c>
      <c r="I46" s="1">
        <v>1.9</v>
      </c>
      <c r="J46" s="1">
        <v>0.4</v>
      </c>
      <c r="K46" s="2" t="s">
        <v>5</v>
      </c>
    </row>
    <row r="47" spans="2:28" x14ac:dyDescent="0.25">
      <c r="B47" s="1">
        <v>4.8</v>
      </c>
      <c r="C47" s="1">
        <v>3</v>
      </c>
      <c r="D47" s="1">
        <v>1.4</v>
      </c>
      <c r="E47" s="1">
        <v>0.3</v>
      </c>
      <c r="F47" s="1" t="s">
        <v>5</v>
      </c>
      <c r="I47" s="1">
        <v>1.4</v>
      </c>
      <c r="J47" s="1">
        <v>0.3</v>
      </c>
      <c r="K47" s="2" t="s">
        <v>5</v>
      </c>
      <c r="M47" t="s">
        <v>15</v>
      </c>
    </row>
    <row r="48" spans="2:28" x14ac:dyDescent="0.25">
      <c r="B48" s="3">
        <v>5.0999999999999996</v>
      </c>
      <c r="C48" s="3">
        <v>3.8</v>
      </c>
      <c r="D48" s="3">
        <v>1.6</v>
      </c>
      <c r="E48" s="3">
        <v>0.2</v>
      </c>
      <c r="F48" s="3" t="s">
        <v>5</v>
      </c>
      <c r="I48" s="1">
        <v>1.6</v>
      </c>
      <c r="J48" s="1">
        <v>0.2</v>
      </c>
      <c r="K48" s="2" t="s">
        <v>5</v>
      </c>
      <c r="M48" t="s">
        <v>12</v>
      </c>
      <c r="N48" t="s">
        <v>13</v>
      </c>
      <c r="P48" t="s">
        <v>12</v>
      </c>
      <c r="Q48" t="s">
        <v>13</v>
      </c>
      <c r="S48" t="s">
        <v>20</v>
      </c>
      <c r="T48" t="s">
        <v>13</v>
      </c>
    </row>
    <row r="49" spans="2:20" x14ac:dyDescent="0.25">
      <c r="B49" s="1">
        <v>4.5999999999999996</v>
      </c>
      <c r="C49" s="1">
        <v>3.2</v>
      </c>
      <c r="D49" s="1">
        <v>1.4</v>
      </c>
      <c r="E49" s="1">
        <v>0.2</v>
      </c>
      <c r="F49" s="1" t="s">
        <v>5</v>
      </c>
      <c r="I49" s="1">
        <v>1.4</v>
      </c>
      <c r="J49" s="1">
        <v>0.2</v>
      </c>
      <c r="K49" s="2" t="s">
        <v>5</v>
      </c>
      <c r="M49">
        <f>SQRT(($N$22 - N3)^2 + ($O$22 - O3)^2)</f>
        <v>0.42426406871192857</v>
      </c>
      <c r="N49" t="str">
        <f>P3</f>
        <v>setosa</v>
      </c>
      <c r="P49">
        <v>9.9999999999999978E-2</v>
      </c>
      <c r="Q49" t="s">
        <v>5</v>
      </c>
      <c r="S49">
        <v>3</v>
      </c>
      <c r="T49" t="s">
        <v>21</v>
      </c>
    </row>
    <row r="50" spans="2:20" x14ac:dyDescent="0.25">
      <c r="B50" s="3">
        <v>5.3</v>
      </c>
      <c r="C50" s="3">
        <v>3.7</v>
      </c>
      <c r="D50" s="3">
        <v>1.5</v>
      </c>
      <c r="E50" s="3">
        <v>0.2</v>
      </c>
      <c r="F50" s="3" t="s">
        <v>5</v>
      </c>
      <c r="I50" s="1">
        <v>1.5</v>
      </c>
      <c r="J50" s="1">
        <v>0.2</v>
      </c>
      <c r="K50" s="2" t="s">
        <v>5</v>
      </c>
      <c r="M50">
        <f t="shared" ref="M50:M62" si="4">SQRT(($N$22 - N4)^2 + ($O$22 - O4)^2)</f>
        <v>9.9999999999999978E-2</v>
      </c>
      <c r="N50" t="str">
        <f t="shared" ref="N50:N62" si="5">P4</f>
        <v>setosa</v>
      </c>
      <c r="P50">
        <v>0.36055512754639896</v>
      </c>
      <c r="Q50" t="s">
        <v>5</v>
      </c>
      <c r="S50">
        <v>4</v>
      </c>
      <c r="T50" t="s">
        <v>21</v>
      </c>
    </row>
    <row r="51" spans="2:20" x14ac:dyDescent="0.25">
      <c r="B51" s="1">
        <v>5</v>
      </c>
      <c r="C51" s="1">
        <v>3.3</v>
      </c>
      <c r="D51" s="1">
        <v>1.4</v>
      </c>
      <c r="E51" s="1">
        <v>0.2</v>
      </c>
      <c r="F51" s="1" t="s">
        <v>5</v>
      </c>
      <c r="I51" s="1">
        <v>1.4</v>
      </c>
      <c r="J51" s="1">
        <v>0.2</v>
      </c>
      <c r="K51" s="2" t="s">
        <v>5</v>
      </c>
      <c r="M51">
        <f t="shared" si="4"/>
        <v>0.44721359549995793</v>
      </c>
      <c r="N51" t="str">
        <f t="shared" si="5"/>
        <v>setosa</v>
      </c>
      <c r="P51">
        <v>0.42426406871192857</v>
      </c>
      <c r="Q51" t="s">
        <v>5</v>
      </c>
    </row>
    <row r="52" spans="2:20" x14ac:dyDescent="0.25">
      <c r="B52" s="3">
        <v>7</v>
      </c>
      <c r="C52" s="3">
        <v>3.2</v>
      </c>
      <c r="D52" s="3">
        <v>4.7</v>
      </c>
      <c r="E52" s="3">
        <v>1.4</v>
      </c>
      <c r="F52" s="3" t="s">
        <v>6</v>
      </c>
      <c r="I52" s="1">
        <v>4.7</v>
      </c>
      <c r="J52" s="1">
        <v>1.4</v>
      </c>
      <c r="K52" s="2" t="s">
        <v>6</v>
      </c>
      <c r="M52">
        <f t="shared" si="4"/>
        <v>0.36055512754639896</v>
      </c>
      <c r="N52" t="str">
        <f t="shared" si="5"/>
        <v>setosa</v>
      </c>
      <c r="P52">
        <v>0.44721359549995793</v>
      </c>
      <c r="Q52" t="s">
        <v>5</v>
      </c>
    </row>
    <row r="53" spans="2:20" x14ac:dyDescent="0.25">
      <c r="B53" s="1">
        <v>6.4</v>
      </c>
      <c r="C53" s="1">
        <v>3.2</v>
      </c>
      <c r="D53" s="1">
        <v>4.5</v>
      </c>
      <c r="E53" s="1">
        <v>1.5</v>
      </c>
      <c r="F53" s="1" t="s">
        <v>6</v>
      </c>
      <c r="I53" s="1">
        <v>4.5</v>
      </c>
      <c r="J53" s="1">
        <v>1.5</v>
      </c>
      <c r="K53" s="2" t="s">
        <v>6</v>
      </c>
      <c r="M53">
        <f t="shared" si="4"/>
        <v>3.1320919526731652</v>
      </c>
      <c r="N53" t="str">
        <f t="shared" si="5"/>
        <v>versicolor</v>
      </c>
      <c r="P53">
        <v>1.8681541692269406</v>
      </c>
      <c r="Q53" t="s">
        <v>6</v>
      </c>
    </row>
    <row r="54" spans="2:20" x14ac:dyDescent="0.25">
      <c r="B54" s="3">
        <v>6.9</v>
      </c>
      <c r="C54" s="3">
        <v>3.1</v>
      </c>
      <c r="D54" s="3">
        <v>4.9000000000000004</v>
      </c>
      <c r="E54" s="3">
        <v>1.5</v>
      </c>
      <c r="F54" s="3" t="s">
        <v>6</v>
      </c>
      <c r="I54" s="1">
        <v>4.9000000000000004</v>
      </c>
      <c r="J54" s="1">
        <v>1.5</v>
      </c>
      <c r="K54" s="2" t="s">
        <v>6</v>
      </c>
      <c r="M54">
        <f t="shared" si="4"/>
        <v>1.8681541692269406</v>
      </c>
      <c r="N54" t="str">
        <f t="shared" si="5"/>
        <v>versicolor</v>
      </c>
      <c r="P54">
        <v>2.1840329667841551</v>
      </c>
      <c r="Q54" t="s">
        <v>6</v>
      </c>
    </row>
    <row r="55" spans="2:20" x14ac:dyDescent="0.25">
      <c r="B55" s="1">
        <v>5.5</v>
      </c>
      <c r="C55" s="1">
        <v>2.2999999999999998</v>
      </c>
      <c r="D55" s="1">
        <v>4</v>
      </c>
      <c r="E55" s="1">
        <v>1.3</v>
      </c>
      <c r="F55" s="1" t="s">
        <v>6</v>
      </c>
      <c r="I55" s="1">
        <v>4</v>
      </c>
      <c r="J55" s="1">
        <v>1.3</v>
      </c>
      <c r="K55" s="2" t="s">
        <v>6</v>
      </c>
      <c r="M55">
        <f t="shared" si="4"/>
        <v>3.3615472627943217</v>
      </c>
      <c r="N55" t="str">
        <f t="shared" si="5"/>
        <v>versicolor</v>
      </c>
      <c r="P55">
        <v>2.7892651361962706</v>
      </c>
      <c r="Q55" t="s">
        <v>6</v>
      </c>
    </row>
    <row r="56" spans="2:20" x14ac:dyDescent="0.25">
      <c r="B56" s="3">
        <v>6.5</v>
      </c>
      <c r="C56" s="3">
        <v>2.8</v>
      </c>
      <c r="D56" s="3">
        <v>4.5999999999999996</v>
      </c>
      <c r="E56" s="3">
        <v>1.5</v>
      </c>
      <c r="F56" s="3" t="s">
        <v>6</v>
      </c>
      <c r="I56" s="1">
        <v>4.5999999999999996</v>
      </c>
      <c r="J56" s="1">
        <v>1.5</v>
      </c>
      <c r="K56" s="2" t="s">
        <v>6</v>
      </c>
      <c r="M56">
        <f t="shared" si="4"/>
        <v>2.1840329667841551</v>
      </c>
      <c r="N56" t="str">
        <f t="shared" si="5"/>
        <v>versicolor</v>
      </c>
      <c r="P56">
        <v>3.1320919526731652</v>
      </c>
      <c r="Q56" t="s">
        <v>6</v>
      </c>
    </row>
    <row r="57" spans="2:20" x14ac:dyDescent="0.25">
      <c r="B57" s="1">
        <v>5.7</v>
      </c>
      <c r="C57" s="1">
        <v>2.8</v>
      </c>
      <c r="D57" s="1">
        <v>4.5</v>
      </c>
      <c r="E57" s="1">
        <v>1.3</v>
      </c>
      <c r="F57" s="1" t="s">
        <v>6</v>
      </c>
      <c r="I57" s="1">
        <v>4.5</v>
      </c>
      <c r="J57" s="1">
        <v>1.3</v>
      </c>
      <c r="K57" s="2" t="s">
        <v>6</v>
      </c>
      <c r="M57">
        <f t="shared" si="4"/>
        <v>2.7892651361962706</v>
      </c>
      <c r="N57" t="str">
        <f t="shared" si="5"/>
        <v>versicolor</v>
      </c>
      <c r="P57">
        <v>3.3615472627943217</v>
      </c>
      <c r="Q57" t="s">
        <v>6</v>
      </c>
    </row>
    <row r="58" spans="2:20" x14ac:dyDescent="0.25">
      <c r="B58" s="3">
        <v>6.3</v>
      </c>
      <c r="C58" s="3">
        <v>3.3</v>
      </c>
      <c r="D58" s="3">
        <v>4.7</v>
      </c>
      <c r="E58" s="3">
        <v>1.6</v>
      </c>
      <c r="F58" s="3" t="s">
        <v>6</v>
      </c>
      <c r="I58" s="1">
        <v>4.7</v>
      </c>
      <c r="J58" s="1">
        <v>1.6</v>
      </c>
      <c r="K58" s="2" t="s">
        <v>6</v>
      </c>
      <c r="M58">
        <f t="shared" si="4"/>
        <v>4.7423622805517507</v>
      </c>
      <c r="N58" t="str">
        <f t="shared" si="5"/>
        <v>virginica</v>
      </c>
      <c r="P58">
        <v>3.7161808352124091</v>
      </c>
      <c r="Q58" t="s">
        <v>7</v>
      </c>
    </row>
    <row r="59" spans="2:20" x14ac:dyDescent="0.25">
      <c r="B59" s="1">
        <v>4.9000000000000004</v>
      </c>
      <c r="C59" s="1">
        <v>2.4</v>
      </c>
      <c r="D59" s="1">
        <v>3.3</v>
      </c>
      <c r="E59" s="1">
        <v>1</v>
      </c>
      <c r="F59" s="1" t="s">
        <v>6</v>
      </c>
      <c r="I59" s="1">
        <v>3.3</v>
      </c>
      <c r="J59" s="1">
        <v>1</v>
      </c>
      <c r="K59" s="2" t="s">
        <v>6</v>
      </c>
      <c r="M59">
        <f t="shared" si="4"/>
        <v>3.7161808352124091</v>
      </c>
      <c r="N59" t="str">
        <f t="shared" si="5"/>
        <v>virginica</v>
      </c>
      <c r="P59">
        <v>4.3382023926967719</v>
      </c>
      <c r="Q59" t="s">
        <v>7</v>
      </c>
    </row>
    <row r="60" spans="2:20" x14ac:dyDescent="0.25">
      <c r="B60" s="3">
        <v>6.6</v>
      </c>
      <c r="C60" s="3">
        <v>2.9</v>
      </c>
      <c r="D60" s="3">
        <v>4.5999999999999996</v>
      </c>
      <c r="E60" s="3">
        <v>1.3</v>
      </c>
      <c r="F60" s="3" t="s">
        <v>6</v>
      </c>
      <c r="I60" s="1">
        <v>4.5999999999999996</v>
      </c>
      <c r="J60" s="1">
        <v>1.3</v>
      </c>
      <c r="K60" s="2" t="s">
        <v>6</v>
      </c>
      <c r="M60">
        <f t="shared" si="4"/>
        <v>4.3863424398922612</v>
      </c>
      <c r="N60" t="str">
        <f t="shared" si="5"/>
        <v>virginica</v>
      </c>
      <c r="P60">
        <v>4.3863424398922612</v>
      </c>
      <c r="Q60" t="s">
        <v>7</v>
      </c>
    </row>
    <row r="61" spans="2:20" x14ac:dyDescent="0.25">
      <c r="B61" s="1">
        <v>5.2</v>
      </c>
      <c r="C61" s="1">
        <v>2.7</v>
      </c>
      <c r="D61" s="1">
        <v>3.9</v>
      </c>
      <c r="E61" s="1">
        <v>1.4</v>
      </c>
      <c r="F61" s="1" t="s">
        <v>6</v>
      </c>
      <c r="I61" s="1">
        <v>3.9</v>
      </c>
      <c r="J61" s="1">
        <v>1.4</v>
      </c>
      <c r="K61" s="2" t="s">
        <v>6</v>
      </c>
      <c r="M61">
        <f t="shared" si="4"/>
        <v>4.6173585522460776</v>
      </c>
      <c r="N61" t="str">
        <f t="shared" si="5"/>
        <v>virginica</v>
      </c>
      <c r="P61">
        <v>4.6173585522460776</v>
      </c>
      <c r="Q61" t="s">
        <v>7</v>
      </c>
    </row>
    <row r="62" spans="2:20" x14ac:dyDescent="0.25">
      <c r="B62" s="3">
        <v>5</v>
      </c>
      <c r="C62" s="3">
        <v>2</v>
      </c>
      <c r="D62" s="3">
        <v>3.5</v>
      </c>
      <c r="E62" s="3">
        <v>1</v>
      </c>
      <c r="F62" s="3" t="s">
        <v>6</v>
      </c>
      <c r="I62" s="1">
        <v>3.5</v>
      </c>
      <c r="J62" s="1">
        <v>1</v>
      </c>
      <c r="K62" s="2" t="s">
        <v>6</v>
      </c>
      <c r="M62">
        <f t="shared" si="4"/>
        <v>4.3382023926967719</v>
      </c>
      <c r="N62" t="str">
        <f t="shared" si="5"/>
        <v>virginica</v>
      </c>
      <c r="P62">
        <v>4.7423622805517507</v>
      </c>
      <c r="Q62" t="s">
        <v>7</v>
      </c>
    </row>
    <row r="63" spans="2:20" x14ac:dyDescent="0.25">
      <c r="B63" s="1">
        <v>5.9</v>
      </c>
      <c r="C63" s="1">
        <v>3</v>
      </c>
      <c r="D63" s="1">
        <v>4.2</v>
      </c>
      <c r="E63" s="1">
        <v>1.5</v>
      </c>
      <c r="F63" s="1" t="s">
        <v>6</v>
      </c>
      <c r="I63" s="1">
        <v>4.2</v>
      </c>
      <c r="J63" s="1">
        <v>1.5</v>
      </c>
      <c r="K63" s="2" t="s">
        <v>6</v>
      </c>
    </row>
    <row r="64" spans="2:20" x14ac:dyDescent="0.25">
      <c r="B64" s="3">
        <v>6</v>
      </c>
      <c r="C64" s="3">
        <v>2.2000000000000002</v>
      </c>
      <c r="D64" s="3">
        <v>4</v>
      </c>
      <c r="E64" s="3">
        <v>1</v>
      </c>
      <c r="F64" s="3" t="s">
        <v>6</v>
      </c>
      <c r="I64" s="1">
        <v>4</v>
      </c>
      <c r="J64" s="1">
        <v>1</v>
      </c>
      <c r="K64" s="2" t="s">
        <v>6</v>
      </c>
      <c r="M64" t="s">
        <v>16</v>
      </c>
    </row>
    <row r="65" spans="2:20" x14ac:dyDescent="0.25">
      <c r="B65" s="1">
        <v>6.1</v>
      </c>
      <c r="C65" s="1">
        <v>2.9</v>
      </c>
      <c r="D65" s="1">
        <v>4.7</v>
      </c>
      <c r="E65" s="1">
        <v>1.4</v>
      </c>
      <c r="F65" s="1" t="s">
        <v>6</v>
      </c>
      <c r="I65" s="1">
        <v>4.7</v>
      </c>
      <c r="J65" s="1">
        <v>1.4</v>
      </c>
      <c r="K65" s="2" t="s">
        <v>6</v>
      </c>
      <c r="M65" t="s">
        <v>12</v>
      </c>
      <c r="N65" t="s">
        <v>13</v>
      </c>
      <c r="P65" t="s">
        <v>12</v>
      </c>
      <c r="Q65" t="s">
        <v>13</v>
      </c>
      <c r="S65" t="s">
        <v>20</v>
      </c>
      <c r="T65" t="s">
        <v>13</v>
      </c>
    </row>
    <row r="66" spans="2:20" x14ac:dyDescent="0.25">
      <c r="B66" s="3">
        <v>5.6</v>
      </c>
      <c r="C66" s="3">
        <v>2.9</v>
      </c>
      <c r="D66" s="3">
        <v>3.6</v>
      </c>
      <c r="E66" s="3">
        <v>1.3</v>
      </c>
      <c r="F66" s="3" t="s">
        <v>6</v>
      </c>
      <c r="I66" s="1">
        <v>3.6</v>
      </c>
      <c r="J66" s="1">
        <v>1.3</v>
      </c>
      <c r="K66" s="2" t="s">
        <v>6</v>
      </c>
      <c r="M66">
        <f>SQRT(($N$23 - N3)^2 + ($O$23 - O3)^2)</f>
        <v>3.2893768406797057</v>
      </c>
      <c r="N66" t="str">
        <f>P3</f>
        <v>setosa</v>
      </c>
      <c r="P66">
        <v>0.14142135623730931</v>
      </c>
      <c r="Q66" t="s">
        <v>6</v>
      </c>
      <c r="S66">
        <v>3</v>
      </c>
      <c r="T66" t="s">
        <v>6</v>
      </c>
    </row>
    <row r="67" spans="2:20" x14ac:dyDescent="0.25">
      <c r="B67" s="1">
        <v>6.7</v>
      </c>
      <c r="C67" s="1">
        <v>3.1</v>
      </c>
      <c r="D67" s="1">
        <v>4.4000000000000004</v>
      </c>
      <c r="E67" s="1">
        <v>1.4</v>
      </c>
      <c r="F67" s="1" t="s">
        <v>6</v>
      </c>
      <c r="I67" s="1">
        <v>4.4000000000000004</v>
      </c>
      <c r="J67" s="1">
        <v>1.4</v>
      </c>
      <c r="K67" s="2" t="s">
        <v>6</v>
      </c>
      <c r="M67">
        <f t="shared" ref="M67:M79" si="6">SQRT(($N$23 - N4)^2 + ($O$23 - O4)^2)</f>
        <v>2.9410882339705484</v>
      </c>
      <c r="N67" t="str">
        <f t="shared" ref="N67:N79" si="7">P4</f>
        <v>setosa</v>
      </c>
      <c r="P67">
        <v>0.22360679774997907</v>
      </c>
      <c r="Q67" t="s">
        <v>6</v>
      </c>
      <c r="S67">
        <v>4</v>
      </c>
      <c r="T67" t="s">
        <v>6</v>
      </c>
    </row>
    <row r="68" spans="2:20" x14ac:dyDescent="0.25">
      <c r="B68" s="3">
        <v>5.6</v>
      </c>
      <c r="C68" s="3">
        <v>3</v>
      </c>
      <c r="D68" s="3">
        <v>4.5</v>
      </c>
      <c r="E68" s="3">
        <v>1.5</v>
      </c>
      <c r="F68" s="3" t="s">
        <v>6</v>
      </c>
      <c r="I68" s="1">
        <v>4.5</v>
      </c>
      <c r="J68" s="1">
        <v>1.5</v>
      </c>
      <c r="K68" s="2" t="s">
        <v>6</v>
      </c>
      <c r="M68">
        <f t="shared" si="6"/>
        <v>3.2310988842807022</v>
      </c>
      <c r="N68" t="str">
        <f t="shared" si="7"/>
        <v>setosa</v>
      </c>
      <c r="P68">
        <v>0.58309518948452999</v>
      </c>
      <c r="Q68" t="s">
        <v>6</v>
      </c>
    </row>
    <row r="69" spans="2:20" x14ac:dyDescent="0.25">
      <c r="B69" s="1">
        <v>5.8</v>
      </c>
      <c r="C69" s="1">
        <v>2.7</v>
      </c>
      <c r="D69" s="1">
        <v>4.0999999999999996</v>
      </c>
      <c r="E69" s="1">
        <v>1</v>
      </c>
      <c r="F69" s="1" t="s">
        <v>6</v>
      </c>
      <c r="I69" s="1">
        <v>4.0999999999999996</v>
      </c>
      <c r="J69" s="1">
        <v>1</v>
      </c>
      <c r="K69" s="2" t="s">
        <v>6</v>
      </c>
      <c r="M69">
        <f t="shared" si="6"/>
        <v>3.2572994949804666</v>
      </c>
      <c r="N69" t="str">
        <f t="shared" si="7"/>
        <v>setosa</v>
      </c>
      <c r="P69">
        <v>0.72801098892805205</v>
      </c>
      <c r="Q69" t="s">
        <v>6</v>
      </c>
    </row>
    <row r="70" spans="2:20" x14ac:dyDescent="0.25">
      <c r="B70" s="3">
        <v>6.2</v>
      </c>
      <c r="C70" s="3">
        <v>2.2000000000000002</v>
      </c>
      <c r="D70" s="3">
        <v>4.5</v>
      </c>
      <c r="E70" s="3">
        <v>1.5</v>
      </c>
      <c r="F70" s="3" t="s">
        <v>6</v>
      </c>
      <c r="I70" s="1">
        <v>4.5</v>
      </c>
      <c r="J70" s="1">
        <v>1.5</v>
      </c>
      <c r="K70" s="2" t="s">
        <v>6</v>
      </c>
      <c r="M70">
        <f t="shared" si="6"/>
        <v>0.22360679774997907</v>
      </c>
      <c r="N70" t="str">
        <f t="shared" si="7"/>
        <v>versicolor</v>
      </c>
      <c r="P70">
        <v>0.92195444572928853</v>
      </c>
      <c r="Q70" t="s">
        <v>7</v>
      </c>
    </row>
    <row r="71" spans="2:20" x14ac:dyDescent="0.25">
      <c r="B71" s="1">
        <v>5.6</v>
      </c>
      <c r="C71" s="1">
        <v>2.5</v>
      </c>
      <c r="D71" s="1">
        <v>3.9</v>
      </c>
      <c r="E71" s="1">
        <v>1.1000000000000001</v>
      </c>
      <c r="F71" s="1" t="s">
        <v>6</v>
      </c>
      <c r="I71" s="1">
        <v>3.9</v>
      </c>
      <c r="J71" s="1">
        <v>1.1000000000000001</v>
      </c>
      <c r="K71" s="2" t="s">
        <v>6</v>
      </c>
      <c r="M71">
        <f t="shared" si="6"/>
        <v>1.0440306508910551</v>
      </c>
      <c r="N71" t="str">
        <f t="shared" si="7"/>
        <v>versicolor</v>
      </c>
      <c r="P71">
        <v>1.0440306508910551</v>
      </c>
      <c r="Q71" t="s">
        <v>6</v>
      </c>
    </row>
    <row r="72" spans="2:20" x14ac:dyDescent="0.25">
      <c r="B72" s="3">
        <v>5.9</v>
      </c>
      <c r="C72" s="3">
        <v>3.2</v>
      </c>
      <c r="D72" s="3">
        <v>4.8</v>
      </c>
      <c r="E72" s="3">
        <v>1.8</v>
      </c>
      <c r="F72" s="3" t="s">
        <v>6</v>
      </c>
      <c r="I72" s="1">
        <v>4.8</v>
      </c>
      <c r="J72" s="1">
        <v>1.8</v>
      </c>
      <c r="K72" s="2" t="s">
        <v>6</v>
      </c>
      <c r="M72">
        <f t="shared" si="6"/>
        <v>0.58309518948452999</v>
      </c>
      <c r="N72" t="str">
        <f t="shared" si="7"/>
        <v>versicolor</v>
      </c>
      <c r="P72">
        <v>1.5556349186104041</v>
      </c>
      <c r="Q72" t="s">
        <v>7</v>
      </c>
    </row>
    <row r="73" spans="2:20" x14ac:dyDescent="0.25">
      <c r="B73" s="1">
        <v>6.1</v>
      </c>
      <c r="C73" s="1">
        <v>2.8</v>
      </c>
      <c r="D73" s="1">
        <v>4</v>
      </c>
      <c r="E73" s="1">
        <v>1.3</v>
      </c>
      <c r="F73" s="1" t="s">
        <v>6</v>
      </c>
      <c r="I73" s="1">
        <v>4</v>
      </c>
      <c r="J73" s="1">
        <v>1.3</v>
      </c>
      <c r="K73" s="2" t="s">
        <v>6</v>
      </c>
      <c r="M73">
        <f t="shared" si="6"/>
        <v>0.72801098892805205</v>
      </c>
      <c r="N73" t="str">
        <f t="shared" si="7"/>
        <v>versicolor</v>
      </c>
      <c r="P73">
        <v>1.5620499351813308</v>
      </c>
      <c r="Q73" t="s">
        <v>7</v>
      </c>
    </row>
    <row r="74" spans="2:20" x14ac:dyDescent="0.25">
      <c r="B74" s="3">
        <v>6.3</v>
      </c>
      <c r="C74" s="3">
        <v>2.5</v>
      </c>
      <c r="D74" s="3">
        <v>4.9000000000000004</v>
      </c>
      <c r="E74" s="3">
        <v>1.5</v>
      </c>
      <c r="F74" s="3" t="s">
        <v>6</v>
      </c>
      <c r="I74" s="1">
        <v>4.9000000000000004</v>
      </c>
      <c r="J74" s="1">
        <v>1.5</v>
      </c>
      <c r="K74" s="2" t="s">
        <v>6</v>
      </c>
      <c r="M74">
        <f t="shared" si="6"/>
        <v>0.14142135623730931</v>
      </c>
      <c r="N74" t="str">
        <f t="shared" si="7"/>
        <v>versicolor</v>
      </c>
      <c r="P74">
        <v>1.7088007490635058</v>
      </c>
      <c r="Q74" t="s">
        <v>7</v>
      </c>
    </row>
    <row r="75" spans="2:20" x14ac:dyDescent="0.25">
      <c r="B75" s="1">
        <v>6.1</v>
      </c>
      <c r="C75" s="1">
        <v>2.8</v>
      </c>
      <c r="D75" s="1">
        <v>4.7</v>
      </c>
      <c r="E75" s="1">
        <v>1.2</v>
      </c>
      <c r="F75" s="1" t="s">
        <v>6</v>
      </c>
      <c r="I75" s="1">
        <v>4.7</v>
      </c>
      <c r="J75" s="1">
        <v>1.2</v>
      </c>
      <c r="K75" s="2" t="s">
        <v>6</v>
      </c>
      <c r="M75">
        <f t="shared" si="6"/>
        <v>1.9209372712298547</v>
      </c>
      <c r="N75" t="str">
        <f t="shared" si="7"/>
        <v>virginica</v>
      </c>
      <c r="P75">
        <v>1.9209372712298547</v>
      </c>
      <c r="Q75" t="s">
        <v>7</v>
      </c>
    </row>
    <row r="76" spans="2:20" x14ac:dyDescent="0.25">
      <c r="B76" s="3">
        <v>6.4</v>
      </c>
      <c r="C76" s="3">
        <v>2.9</v>
      </c>
      <c r="D76" s="3">
        <v>4.3</v>
      </c>
      <c r="E76" s="3">
        <v>1.3</v>
      </c>
      <c r="F76" s="3" t="s">
        <v>6</v>
      </c>
      <c r="I76" s="1">
        <v>4.3</v>
      </c>
      <c r="J76" s="1">
        <v>1.3</v>
      </c>
      <c r="K76" s="2" t="s">
        <v>6</v>
      </c>
      <c r="M76">
        <f t="shared" si="6"/>
        <v>0.92195444572928853</v>
      </c>
      <c r="N76" t="str">
        <f t="shared" si="7"/>
        <v>virginica</v>
      </c>
      <c r="P76">
        <v>2.9410882339705484</v>
      </c>
      <c r="Q76" t="s">
        <v>5</v>
      </c>
    </row>
    <row r="77" spans="2:20" x14ac:dyDescent="0.25">
      <c r="B77" s="1">
        <v>6.6</v>
      </c>
      <c r="C77" s="1">
        <v>3</v>
      </c>
      <c r="D77" s="1">
        <v>4.4000000000000004</v>
      </c>
      <c r="E77" s="1">
        <v>1.4</v>
      </c>
      <c r="F77" s="1" t="s">
        <v>6</v>
      </c>
      <c r="I77" s="1">
        <v>4.4000000000000004</v>
      </c>
      <c r="J77" s="1">
        <v>1.4</v>
      </c>
      <c r="K77" s="2" t="s">
        <v>6</v>
      </c>
      <c r="M77">
        <f t="shared" si="6"/>
        <v>1.5620499351813308</v>
      </c>
      <c r="N77" t="str">
        <f t="shared" si="7"/>
        <v>virginica</v>
      </c>
      <c r="P77">
        <v>3.2310988842807022</v>
      </c>
      <c r="Q77" t="s">
        <v>5</v>
      </c>
    </row>
    <row r="78" spans="2:20" x14ac:dyDescent="0.25">
      <c r="B78" s="3">
        <v>6.8</v>
      </c>
      <c r="C78" s="3">
        <v>2.8</v>
      </c>
      <c r="D78" s="3">
        <v>4.8</v>
      </c>
      <c r="E78" s="3">
        <v>1.4</v>
      </c>
      <c r="F78" s="3" t="s">
        <v>6</v>
      </c>
      <c r="I78" s="1">
        <v>4.8</v>
      </c>
      <c r="J78" s="1">
        <v>1.4</v>
      </c>
      <c r="K78" s="2" t="s">
        <v>6</v>
      </c>
      <c r="M78">
        <f t="shared" si="6"/>
        <v>1.7088007490635058</v>
      </c>
      <c r="N78" t="str">
        <f t="shared" si="7"/>
        <v>virginica</v>
      </c>
      <c r="P78">
        <v>3.2572994949804666</v>
      </c>
      <c r="Q78" t="s">
        <v>5</v>
      </c>
    </row>
    <row r="79" spans="2:20" x14ac:dyDescent="0.25">
      <c r="B79" s="1">
        <v>6.7</v>
      </c>
      <c r="C79" s="1">
        <v>3</v>
      </c>
      <c r="D79" s="1">
        <v>5</v>
      </c>
      <c r="E79" s="1">
        <v>1.7</v>
      </c>
      <c r="F79" s="1" t="s">
        <v>6</v>
      </c>
      <c r="I79" s="1">
        <v>5</v>
      </c>
      <c r="J79" s="1">
        <v>1.7</v>
      </c>
      <c r="K79" s="2" t="s">
        <v>6</v>
      </c>
      <c r="M79">
        <f t="shared" si="6"/>
        <v>1.5556349186104041</v>
      </c>
      <c r="N79" t="str">
        <f t="shared" si="7"/>
        <v>virginica</v>
      </c>
      <c r="P79">
        <v>3.2893768406797057</v>
      </c>
      <c r="Q79" t="s">
        <v>5</v>
      </c>
    </row>
    <row r="80" spans="2:20" x14ac:dyDescent="0.25">
      <c r="B80" s="3">
        <v>6</v>
      </c>
      <c r="C80" s="3">
        <v>2.9</v>
      </c>
      <c r="D80" s="3">
        <v>4.5</v>
      </c>
      <c r="E80" s="3">
        <v>1.5</v>
      </c>
      <c r="F80" s="3" t="s">
        <v>6</v>
      </c>
      <c r="I80" s="1">
        <v>4.5</v>
      </c>
      <c r="J80" s="1">
        <v>1.5</v>
      </c>
      <c r="K80" s="2" t="s">
        <v>6</v>
      </c>
    </row>
    <row r="81" spans="2:20" x14ac:dyDescent="0.25">
      <c r="B81" s="1">
        <v>5.7</v>
      </c>
      <c r="C81" s="1">
        <v>2.6</v>
      </c>
      <c r="D81" s="1">
        <v>3.5</v>
      </c>
      <c r="E81" s="1">
        <v>1</v>
      </c>
      <c r="F81" s="1" t="s">
        <v>6</v>
      </c>
      <c r="I81" s="1">
        <v>3.5</v>
      </c>
      <c r="J81" s="1">
        <v>1</v>
      </c>
      <c r="K81" s="2" t="s">
        <v>6</v>
      </c>
      <c r="M81" t="s">
        <v>17</v>
      </c>
    </row>
    <row r="82" spans="2:20" x14ac:dyDescent="0.25">
      <c r="B82" s="3">
        <v>5.5</v>
      </c>
      <c r="C82" s="3">
        <v>2.4</v>
      </c>
      <c r="D82" s="3">
        <v>3.8</v>
      </c>
      <c r="E82" s="3">
        <v>1.1000000000000001</v>
      </c>
      <c r="F82" s="3" t="s">
        <v>6</v>
      </c>
      <c r="I82" s="1">
        <v>3.8</v>
      </c>
      <c r="J82" s="1">
        <v>1.1000000000000001</v>
      </c>
      <c r="K82" s="2" t="s">
        <v>6</v>
      </c>
      <c r="M82" t="s">
        <v>12</v>
      </c>
      <c r="N82" t="s">
        <v>13</v>
      </c>
      <c r="P82" t="s">
        <v>12</v>
      </c>
      <c r="Q82" t="s">
        <v>13</v>
      </c>
      <c r="S82" t="s">
        <v>20</v>
      </c>
      <c r="T82" t="s">
        <v>13</v>
      </c>
    </row>
    <row r="83" spans="2:20" x14ac:dyDescent="0.25">
      <c r="B83" s="1">
        <v>5.5</v>
      </c>
      <c r="C83" s="1">
        <v>2.4</v>
      </c>
      <c r="D83" s="1">
        <v>3.7</v>
      </c>
      <c r="E83" s="1">
        <v>1</v>
      </c>
      <c r="F83" s="1" t="s">
        <v>6</v>
      </c>
      <c r="I83" s="1">
        <v>3.7</v>
      </c>
      <c r="J83" s="1">
        <v>1</v>
      </c>
      <c r="K83" s="2" t="s">
        <v>6</v>
      </c>
      <c r="M83">
        <f>SQRT(($N$24 - N3)^2 + ($O$24 - O3)^2)</f>
        <v>2.0615528128088303</v>
      </c>
      <c r="N83" t="str">
        <f>P3</f>
        <v>setosa</v>
      </c>
      <c r="P83">
        <v>0.20000000000000018</v>
      </c>
      <c r="Q83" t="s">
        <v>6</v>
      </c>
      <c r="S83">
        <v>3</v>
      </c>
      <c r="T83" t="s">
        <v>6</v>
      </c>
    </row>
    <row r="84" spans="2:20" x14ac:dyDescent="0.25">
      <c r="B84" s="3">
        <v>5.8</v>
      </c>
      <c r="C84" s="3">
        <v>2.7</v>
      </c>
      <c r="D84" s="3">
        <v>3.9</v>
      </c>
      <c r="E84" s="3">
        <v>1.2</v>
      </c>
      <c r="F84" s="3" t="s">
        <v>6</v>
      </c>
      <c r="I84" s="1">
        <v>3.9</v>
      </c>
      <c r="J84" s="1">
        <v>1.2</v>
      </c>
      <c r="K84" s="2" t="s">
        <v>6</v>
      </c>
      <c r="M84">
        <f t="shared" ref="M84:M96" si="8">SQRT(($N$24 - N4)^2 + ($O$24 - O4)^2)</f>
        <v>1.708800749063506</v>
      </c>
      <c r="N84" t="str">
        <f t="shared" ref="N84:N96" si="9">P4</f>
        <v>setosa</v>
      </c>
      <c r="P84">
        <v>0.50990195135927852</v>
      </c>
      <c r="Q84" t="s">
        <v>6</v>
      </c>
      <c r="S84">
        <v>4</v>
      </c>
      <c r="T84" t="s">
        <v>6</v>
      </c>
    </row>
    <row r="85" spans="2:20" x14ac:dyDescent="0.25">
      <c r="B85" s="1">
        <v>6</v>
      </c>
      <c r="C85" s="1">
        <v>2.7</v>
      </c>
      <c r="D85" s="1">
        <v>5.0999999999999996</v>
      </c>
      <c r="E85" s="1">
        <v>1.6</v>
      </c>
      <c r="F85" s="1" t="s">
        <v>6</v>
      </c>
      <c r="I85" s="1">
        <v>5.0999999999999996</v>
      </c>
      <c r="J85" s="1">
        <v>1.6</v>
      </c>
      <c r="K85" s="2" t="s">
        <v>6</v>
      </c>
      <c r="M85">
        <f t="shared" si="8"/>
        <v>2.0124611797498106</v>
      </c>
      <c r="N85" t="str">
        <f t="shared" si="9"/>
        <v>setosa</v>
      </c>
      <c r="P85">
        <v>1.1180339887498953</v>
      </c>
      <c r="Q85" t="s">
        <v>6</v>
      </c>
    </row>
    <row r="86" spans="2:20" x14ac:dyDescent="0.25">
      <c r="B86" s="3">
        <v>5.4</v>
      </c>
      <c r="C86" s="3">
        <v>3</v>
      </c>
      <c r="D86" s="3">
        <v>4.5</v>
      </c>
      <c r="E86" s="3">
        <v>1.5</v>
      </c>
      <c r="F86" s="3" t="s">
        <v>6</v>
      </c>
      <c r="I86" s="1">
        <v>4.5</v>
      </c>
      <c r="J86" s="1">
        <v>1.5</v>
      </c>
      <c r="K86" s="2" t="s">
        <v>6</v>
      </c>
      <c r="M86">
        <f t="shared" si="8"/>
        <v>2.0248456731316584</v>
      </c>
      <c r="N86" t="str">
        <f t="shared" si="9"/>
        <v>setosa</v>
      </c>
      <c r="P86">
        <v>1.4560219778561041</v>
      </c>
      <c r="Q86" t="s">
        <v>6</v>
      </c>
    </row>
    <row r="87" spans="2:20" x14ac:dyDescent="0.25">
      <c r="B87" s="1">
        <v>6</v>
      </c>
      <c r="C87" s="1">
        <v>3.4</v>
      </c>
      <c r="D87" s="1">
        <v>4.5</v>
      </c>
      <c r="E87" s="1">
        <v>1.6</v>
      </c>
      <c r="F87" s="1" t="s">
        <v>6</v>
      </c>
      <c r="I87" s="1">
        <v>4.5</v>
      </c>
      <c r="J87" s="1">
        <v>1.6</v>
      </c>
      <c r="K87" s="2" t="s">
        <v>6</v>
      </c>
      <c r="M87">
        <f t="shared" si="8"/>
        <v>1.4560219778561041</v>
      </c>
      <c r="N87" t="str">
        <f t="shared" si="9"/>
        <v>versicolor</v>
      </c>
      <c r="P87">
        <v>1.7</v>
      </c>
      <c r="Q87" t="s">
        <v>6</v>
      </c>
    </row>
    <row r="88" spans="2:20" x14ac:dyDescent="0.25">
      <c r="B88" s="3">
        <v>6.7</v>
      </c>
      <c r="C88" s="3">
        <v>3.1</v>
      </c>
      <c r="D88" s="3">
        <v>4.7</v>
      </c>
      <c r="E88" s="3">
        <v>1.5</v>
      </c>
      <c r="F88" s="3" t="s">
        <v>6</v>
      </c>
      <c r="I88" s="1">
        <v>4.7</v>
      </c>
      <c r="J88" s="1">
        <v>1.5</v>
      </c>
      <c r="K88" s="2" t="s">
        <v>6</v>
      </c>
      <c r="M88">
        <f t="shared" si="8"/>
        <v>0.20000000000000018</v>
      </c>
      <c r="N88" t="str">
        <f t="shared" si="9"/>
        <v>versicolor</v>
      </c>
      <c r="P88">
        <v>1.708800749063506</v>
      </c>
      <c r="Q88" t="s">
        <v>5</v>
      </c>
    </row>
    <row r="89" spans="2:20" x14ac:dyDescent="0.25">
      <c r="B89" s="1">
        <v>6.3</v>
      </c>
      <c r="C89" s="1">
        <v>2.2999999999999998</v>
      </c>
      <c r="D89" s="1">
        <v>4.4000000000000004</v>
      </c>
      <c r="E89" s="1">
        <v>1.3</v>
      </c>
      <c r="F89" s="1" t="s">
        <v>6</v>
      </c>
      <c r="I89" s="1">
        <v>4.4000000000000004</v>
      </c>
      <c r="J89" s="1">
        <v>1.3</v>
      </c>
      <c r="K89" s="2" t="s">
        <v>6</v>
      </c>
      <c r="M89">
        <f t="shared" si="8"/>
        <v>1.7</v>
      </c>
      <c r="N89" t="str">
        <f t="shared" si="9"/>
        <v>versicolor</v>
      </c>
      <c r="P89">
        <v>2.0124611797498106</v>
      </c>
      <c r="Q89" t="s">
        <v>5</v>
      </c>
    </row>
    <row r="90" spans="2:20" x14ac:dyDescent="0.25">
      <c r="B90" s="3">
        <v>5.6</v>
      </c>
      <c r="C90" s="3">
        <v>3</v>
      </c>
      <c r="D90" s="3">
        <v>4.0999999999999996</v>
      </c>
      <c r="E90" s="3">
        <v>1.3</v>
      </c>
      <c r="F90" s="3" t="s">
        <v>6</v>
      </c>
      <c r="I90" s="1">
        <v>4.0999999999999996</v>
      </c>
      <c r="J90" s="1">
        <v>1.3</v>
      </c>
      <c r="K90" s="2" t="s">
        <v>6</v>
      </c>
      <c r="M90">
        <f t="shared" si="8"/>
        <v>0.50990195135927852</v>
      </c>
      <c r="N90" t="str">
        <f t="shared" si="9"/>
        <v>versicolor</v>
      </c>
      <c r="P90">
        <v>2.0248456731316584</v>
      </c>
      <c r="Q90" t="s">
        <v>5</v>
      </c>
    </row>
    <row r="91" spans="2:20" x14ac:dyDescent="0.25">
      <c r="B91" s="1">
        <v>5.5</v>
      </c>
      <c r="C91" s="1">
        <v>2.5</v>
      </c>
      <c r="D91" s="1">
        <v>4</v>
      </c>
      <c r="E91" s="1">
        <v>1.3</v>
      </c>
      <c r="F91" s="1" t="s">
        <v>6</v>
      </c>
      <c r="I91" s="1">
        <v>4</v>
      </c>
      <c r="J91" s="1">
        <v>1.3</v>
      </c>
      <c r="K91" s="2" t="s">
        <v>6</v>
      </c>
      <c r="M91">
        <f t="shared" si="8"/>
        <v>1.1180339887498953</v>
      </c>
      <c r="N91" t="str">
        <f t="shared" si="9"/>
        <v>versicolor</v>
      </c>
      <c r="P91">
        <v>2.0591260281974</v>
      </c>
      <c r="Q91" t="s">
        <v>7</v>
      </c>
    </row>
    <row r="92" spans="2:20" x14ac:dyDescent="0.25">
      <c r="B92" s="3">
        <v>5.5</v>
      </c>
      <c r="C92" s="3">
        <v>2.6</v>
      </c>
      <c r="D92" s="3">
        <v>4.4000000000000004</v>
      </c>
      <c r="E92" s="3">
        <v>1.2</v>
      </c>
      <c r="F92" s="3" t="s">
        <v>6</v>
      </c>
      <c r="I92" s="1">
        <v>4.4000000000000004</v>
      </c>
      <c r="J92" s="1">
        <v>1.2</v>
      </c>
      <c r="K92" s="2" t="s">
        <v>6</v>
      </c>
      <c r="M92">
        <f t="shared" si="8"/>
        <v>3.0886890422961004</v>
      </c>
      <c r="N92" t="str">
        <f t="shared" si="9"/>
        <v>virginica</v>
      </c>
      <c r="P92">
        <v>2.0615528128088303</v>
      </c>
      <c r="Q92" t="s">
        <v>5</v>
      </c>
    </row>
    <row r="93" spans="2:20" x14ac:dyDescent="0.25">
      <c r="B93" s="1">
        <v>6.1</v>
      </c>
      <c r="C93" s="1">
        <v>3</v>
      </c>
      <c r="D93" s="1">
        <v>4.5999999999999996</v>
      </c>
      <c r="E93" s="1">
        <v>1.4</v>
      </c>
      <c r="F93" s="1" t="s">
        <v>6</v>
      </c>
      <c r="I93" s="1">
        <v>4.5999999999999996</v>
      </c>
      <c r="J93" s="1">
        <v>1.4</v>
      </c>
      <c r="K93" s="2" t="s">
        <v>6</v>
      </c>
      <c r="M93">
        <f t="shared" si="8"/>
        <v>2.0591260281974</v>
      </c>
      <c r="N93" t="str">
        <f t="shared" si="9"/>
        <v>virginica</v>
      </c>
      <c r="P93">
        <v>2.6925824035672519</v>
      </c>
      <c r="Q93" t="s">
        <v>7</v>
      </c>
    </row>
    <row r="94" spans="2:20" x14ac:dyDescent="0.25">
      <c r="B94" s="3">
        <v>5.8</v>
      </c>
      <c r="C94" s="3">
        <v>2.6</v>
      </c>
      <c r="D94" s="3">
        <v>4</v>
      </c>
      <c r="E94" s="3">
        <v>1.2</v>
      </c>
      <c r="F94" s="3" t="s">
        <v>6</v>
      </c>
      <c r="I94" s="1">
        <v>4</v>
      </c>
      <c r="J94" s="1">
        <v>1.2</v>
      </c>
      <c r="K94" s="2" t="s">
        <v>6</v>
      </c>
      <c r="M94">
        <f t="shared" si="8"/>
        <v>2.7294688127912363</v>
      </c>
      <c r="N94" t="str">
        <f t="shared" si="9"/>
        <v>virginica</v>
      </c>
      <c r="P94">
        <v>2.7294688127912363</v>
      </c>
      <c r="Q94" t="s">
        <v>7</v>
      </c>
    </row>
    <row r="95" spans="2:20" x14ac:dyDescent="0.25">
      <c r="B95" s="1">
        <v>5</v>
      </c>
      <c r="C95" s="1">
        <v>2.2999999999999998</v>
      </c>
      <c r="D95" s="1">
        <v>3.3</v>
      </c>
      <c r="E95" s="1">
        <v>1</v>
      </c>
      <c r="F95" s="1" t="s">
        <v>6</v>
      </c>
      <c r="I95" s="1">
        <v>3.3</v>
      </c>
      <c r="J95" s="1">
        <v>1</v>
      </c>
      <c r="K95" s="2" t="s">
        <v>6</v>
      </c>
      <c r="M95">
        <f t="shared" si="8"/>
        <v>2.9410882339705484</v>
      </c>
      <c r="N95" t="str">
        <f t="shared" si="9"/>
        <v>virginica</v>
      </c>
      <c r="P95">
        <v>2.9410882339705484</v>
      </c>
      <c r="Q95" t="s">
        <v>7</v>
      </c>
    </row>
    <row r="96" spans="2:20" x14ac:dyDescent="0.25">
      <c r="B96" s="3">
        <v>5.6</v>
      </c>
      <c r="C96" s="3">
        <v>2.7</v>
      </c>
      <c r="D96" s="3">
        <v>4.2</v>
      </c>
      <c r="E96" s="3">
        <v>1.3</v>
      </c>
      <c r="F96" s="3" t="s">
        <v>6</v>
      </c>
      <c r="I96" s="1">
        <v>4.2</v>
      </c>
      <c r="J96" s="1">
        <v>1.3</v>
      </c>
      <c r="K96" s="2" t="s">
        <v>6</v>
      </c>
      <c r="M96">
        <f t="shared" si="8"/>
        <v>2.6925824035672519</v>
      </c>
      <c r="N96" t="str">
        <f t="shared" si="9"/>
        <v>virginica</v>
      </c>
      <c r="P96">
        <v>3.0886890422961004</v>
      </c>
      <c r="Q96" t="s">
        <v>7</v>
      </c>
    </row>
    <row r="97" spans="2:20" x14ac:dyDescent="0.25">
      <c r="B97" s="1">
        <v>5.7</v>
      </c>
      <c r="C97" s="1">
        <v>3</v>
      </c>
      <c r="D97" s="1">
        <v>4.2</v>
      </c>
      <c r="E97" s="1">
        <v>1.2</v>
      </c>
      <c r="F97" s="1" t="s">
        <v>6</v>
      </c>
      <c r="I97" s="1">
        <v>4.2</v>
      </c>
      <c r="J97" s="1">
        <v>1.2</v>
      </c>
      <c r="K97" s="2" t="s">
        <v>6</v>
      </c>
    </row>
    <row r="98" spans="2:20" x14ac:dyDescent="0.25">
      <c r="B98" s="3">
        <v>5.7</v>
      </c>
      <c r="C98" s="3">
        <v>2.9</v>
      </c>
      <c r="D98" s="3">
        <v>4.2</v>
      </c>
      <c r="E98" s="3">
        <v>1.3</v>
      </c>
      <c r="F98" s="3" t="s">
        <v>6</v>
      </c>
      <c r="I98" s="1">
        <v>4.2</v>
      </c>
      <c r="J98" s="1">
        <v>1.3</v>
      </c>
      <c r="K98" s="2" t="s">
        <v>6</v>
      </c>
      <c r="M98" t="s">
        <v>18</v>
      </c>
    </row>
    <row r="99" spans="2:20" x14ac:dyDescent="0.25">
      <c r="B99" s="1">
        <v>6.2</v>
      </c>
      <c r="C99" s="1">
        <v>2.9</v>
      </c>
      <c r="D99" s="1">
        <v>4.3</v>
      </c>
      <c r="E99" s="1">
        <v>1.3</v>
      </c>
      <c r="F99" s="1" t="s">
        <v>6</v>
      </c>
      <c r="I99" s="1">
        <v>4.3</v>
      </c>
      <c r="J99" s="1">
        <v>1.3</v>
      </c>
      <c r="K99" s="2" t="s">
        <v>6</v>
      </c>
      <c r="M99" t="s">
        <v>12</v>
      </c>
      <c r="N99" t="s">
        <v>13</v>
      </c>
      <c r="P99" t="s">
        <v>12</v>
      </c>
      <c r="Q99" t="s">
        <v>13</v>
      </c>
      <c r="S99" t="s">
        <v>20</v>
      </c>
      <c r="T99" t="s">
        <v>13</v>
      </c>
    </row>
    <row r="100" spans="2:20" x14ac:dyDescent="0.25">
      <c r="B100" s="3">
        <v>5.0999999999999996</v>
      </c>
      <c r="C100" s="3">
        <v>2.5</v>
      </c>
      <c r="D100" s="3">
        <v>3</v>
      </c>
      <c r="E100" s="3">
        <v>1.1000000000000001</v>
      </c>
      <c r="F100" s="3" t="s">
        <v>6</v>
      </c>
      <c r="I100" s="1">
        <v>3</v>
      </c>
      <c r="J100" s="1">
        <v>1.1000000000000001</v>
      </c>
      <c r="K100" s="2" t="s">
        <v>6</v>
      </c>
      <c r="M100">
        <f>SQRT(($N$25 - N3)^2 + ($O$25 - O3)^2)</f>
        <v>4.965883607174054</v>
      </c>
      <c r="N100" t="str">
        <f>P3</f>
        <v>setosa</v>
      </c>
      <c r="P100">
        <v>0.20000000000000018</v>
      </c>
      <c r="Q100" t="s">
        <v>7</v>
      </c>
      <c r="S100">
        <v>3</v>
      </c>
      <c r="T100" t="s">
        <v>7</v>
      </c>
    </row>
    <row r="101" spans="2:20" x14ac:dyDescent="0.25">
      <c r="B101" s="1">
        <v>5.7</v>
      </c>
      <c r="C101" s="1">
        <v>2.8</v>
      </c>
      <c r="D101" s="1">
        <v>4.0999999999999996</v>
      </c>
      <c r="E101" s="1">
        <v>1.3</v>
      </c>
      <c r="F101" s="1" t="s">
        <v>6</v>
      </c>
      <c r="I101" s="1">
        <v>4.0999999999999996</v>
      </c>
      <c r="J101" s="1">
        <v>1.3</v>
      </c>
      <c r="K101" s="2" t="s">
        <v>6</v>
      </c>
      <c r="M101">
        <f t="shared" ref="M101:M112" si="10">SQRT(($N$25 - N4)^2 + ($O$25 - O4)^2)</f>
        <v>4.6097722286464435</v>
      </c>
      <c r="N101" t="str">
        <f t="shared" ref="N101:N113" si="11">P4</f>
        <v>setosa</v>
      </c>
      <c r="P101">
        <v>0.22360679774997896</v>
      </c>
      <c r="Q101" t="s">
        <v>7</v>
      </c>
      <c r="S101">
        <v>4</v>
      </c>
      <c r="T101" t="s">
        <v>7</v>
      </c>
    </row>
    <row r="102" spans="2:20" x14ac:dyDescent="0.25">
      <c r="B102" s="3">
        <v>6.3</v>
      </c>
      <c r="C102" s="3">
        <v>3.3</v>
      </c>
      <c r="D102" s="3">
        <v>6</v>
      </c>
      <c r="E102" s="3">
        <v>2.5</v>
      </c>
      <c r="F102" s="3" t="s">
        <v>7</v>
      </c>
      <c r="I102" s="1">
        <v>6</v>
      </c>
      <c r="J102" s="1">
        <v>2.5</v>
      </c>
      <c r="K102" s="2" t="s">
        <v>7</v>
      </c>
      <c r="M102">
        <f t="shared" si="10"/>
        <v>4.9193495504995379</v>
      </c>
      <c r="N102" t="str">
        <f t="shared" si="11"/>
        <v>setosa</v>
      </c>
      <c r="P102">
        <v>0.31622776601683866</v>
      </c>
      <c r="Q102" t="s">
        <v>7</v>
      </c>
    </row>
    <row r="103" spans="2:20" x14ac:dyDescent="0.25">
      <c r="B103" s="1">
        <v>5.8</v>
      </c>
      <c r="C103" s="1">
        <v>2.7</v>
      </c>
      <c r="D103" s="1">
        <v>5.0999999999999996</v>
      </c>
      <c r="E103" s="1">
        <v>1.9</v>
      </c>
      <c r="F103" s="1" t="s">
        <v>7</v>
      </c>
      <c r="I103" s="1">
        <v>5.0999999999999996</v>
      </c>
      <c r="J103" s="1">
        <v>1.9</v>
      </c>
      <c r="K103" s="2" t="s">
        <v>7</v>
      </c>
      <c r="M103">
        <f t="shared" si="10"/>
        <v>4.924428900898052</v>
      </c>
      <c r="N103" t="str">
        <f t="shared" si="11"/>
        <v>setosa</v>
      </c>
      <c r="P103">
        <v>0.44721359549995754</v>
      </c>
      <c r="Q103" t="s">
        <v>7</v>
      </c>
    </row>
    <row r="104" spans="2:20" x14ac:dyDescent="0.25">
      <c r="B104" s="3">
        <v>7.1</v>
      </c>
      <c r="C104" s="3">
        <v>3</v>
      </c>
      <c r="D104" s="3">
        <v>5.9</v>
      </c>
      <c r="E104" s="3">
        <v>2.1</v>
      </c>
      <c r="F104" s="3" t="s">
        <v>7</v>
      </c>
      <c r="I104" s="1">
        <v>5.9</v>
      </c>
      <c r="J104" s="1">
        <v>2.1</v>
      </c>
      <c r="K104" s="2" t="s">
        <v>7</v>
      </c>
      <c r="M104">
        <f t="shared" si="10"/>
        <v>1.5</v>
      </c>
      <c r="N104" t="str">
        <f t="shared" si="11"/>
        <v>versicolor</v>
      </c>
      <c r="P104">
        <v>0.85440037453175366</v>
      </c>
      <c r="Q104" t="s">
        <v>7</v>
      </c>
    </row>
    <row r="105" spans="2:20" x14ac:dyDescent="0.25">
      <c r="B105" s="1">
        <v>6.3</v>
      </c>
      <c r="C105" s="1">
        <v>2.9</v>
      </c>
      <c r="D105" s="1">
        <v>5.6</v>
      </c>
      <c r="E105" s="1">
        <v>1.8</v>
      </c>
      <c r="F105" s="1" t="s">
        <v>7</v>
      </c>
      <c r="I105" s="1">
        <v>5.6</v>
      </c>
      <c r="J105" s="1">
        <v>1.8</v>
      </c>
      <c r="K105" s="2" t="s">
        <v>7</v>
      </c>
      <c r="M105">
        <f t="shared" si="10"/>
        <v>2.7294688127912363</v>
      </c>
      <c r="N105" t="str">
        <f t="shared" si="11"/>
        <v>versicolor</v>
      </c>
      <c r="P105">
        <v>1.2083045973594575</v>
      </c>
      <c r="Q105" t="s">
        <v>6</v>
      </c>
    </row>
    <row r="106" spans="2:20" x14ac:dyDescent="0.25">
      <c r="B106" s="3">
        <v>6.5</v>
      </c>
      <c r="C106" s="3">
        <v>3</v>
      </c>
      <c r="D106" s="3">
        <v>5.8</v>
      </c>
      <c r="E106" s="3">
        <v>2.2000000000000002</v>
      </c>
      <c r="F106" s="3" t="s">
        <v>7</v>
      </c>
      <c r="I106" s="1">
        <v>5.8</v>
      </c>
      <c r="J106" s="1">
        <v>2.2000000000000002</v>
      </c>
      <c r="K106" s="2" t="s">
        <v>7</v>
      </c>
      <c r="M106">
        <f t="shared" si="10"/>
        <v>1.2083045973594575</v>
      </c>
      <c r="N106" t="str">
        <f t="shared" si="11"/>
        <v>versicolor</v>
      </c>
      <c r="P106">
        <v>1.5</v>
      </c>
      <c r="Q106" t="s">
        <v>6</v>
      </c>
    </row>
    <row r="107" spans="2:20" x14ac:dyDescent="0.25">
      <c r="B107" s="1">
        <v>7.6</v>
      </c>
      <c r="C107" s="1">
        <v>3</v>
      </c>
      <c r="D107" s="1">
        <v>6.6</v>
      </c>
      <c r="E107" s="1">
        <v>2.1</v>
      </c>
      <c r="F107" s="1" t="s">
        <v>7</v>
      </c>
      <c r="I107" s="1">
        <v>6.6</v>
      </c>
      <c r="J107" s="1">
        <v>2.1</v>
      </c>
      <c r="K107" s="2" t="s">
        <v>7</v>
      </c>
      <c r="M107">
        <f t="shared" si="10"/>
        <v>2.4186773244895652</v>
      </c>
      <c r="N107" t="str">
        <f t="shared" si="11"/>
        <v>versicolor</v>
      </c>
      <c r="P107">
        <v>1.8601075237738274</v>
      </c>
      <c r="Q107" t="s">
        <v>6</v>
      </c>
    </row>
    <row r="108" spans="2:20" x14ac:dyDescent="0.25">
      <c r="B108" s="3">
        <v>4.9000000000000004</v>
      </c>
      <c r="C108" s="3">
        <v>2.5</v>
      </c>
      <c r="D108" s="3">
        <v>4.5</v>
      </c>
      <c r="E108" s="3">
        <v>1.7</v>
      </c>
      <c r="F108" s="3" t="s">
        <v>7</v>
      </c>
      <c r="I108" s="1">
        <v>4.5</v>
      </c>
      <c r="J108" s="1">
        <v>1.7</v>
      </c>
      <c r="K108" s="2" t="s">
        <v>7</v>
      </c>
      <c r="M108">
        <f t="shared" si="10"/>
        <v>1.8601075237738274</v>
      </c>
      <c r="N108" t="str">
        <f t="shared" si="11"/>
        <v>versicolor</v>
      </c>
      <c r="P108">
        <v>2.4186773244895652</v>
      </c>
      <c r="Q108" t="s">
        <v>6</v>
      </c>
    </row>
    <row r="109" spans="2:20" x14ac:dyDescent="0.25">
      <c r="B109" s="1">
        <v>7.3</v>
      </c>
      <c r="C109" s="1">
        <v>2.9</v>
      </c>
      <c r="D109" s="1">
        <v>6.3</v>
      </c>
      <c r="E109" s="1">
        <v>1.8</v>
      </c>
      <c r="F109" s="1" t="s">
        <v>7</v>
      </c>
      <c r="I109" s="1">
        <v>6.3</v>
      </c>
      <c r="J109" s="1">
        <v>1.8</v>
      </c>
      <c r="K109" s="2" t="s">
        <v>7</v>
      </c>
      <c r="M109">
        <f t="shared" si="10"/>
        <v>0.22360679774997896</v>
      </c>
      <c r="N109" t="str">
        <f t="shared" si="11"/>
        <v>virginica</v>
      </c>
      <c r="P109">
        <v>2.7294688127912363</v>
      </c>
      <c r="Q109" t="s">
        <v>6</v>
      </c>
    </row>
    <row r="110" spans="2:20" x14ac:dyDescent="0.25">
      <c r="B110" s="3">
        <v>6.7</v>
      </c>
      <c r="C110" s="3">
        <v>2.5</v>
      </c>
      <c r="D110" s="3">
        <v>5.8</v>
      </c>
      <c r="E110" s="3">
        <v>1.8</v>
      </c>
      <c r="F110" s="3" t="s">
        <v>7</v>
      </c>
      <c r="I110" s="1">
        <v>5.8</v>
      </c>
      <c r="J110" s="1">
        <v>1.8</v>
      </c>
      <c r="K110" s="2" t="s">
        <v>7</v>
      </c>
      <c r="M110">
        <f t="shared" si="10"/>
        <v>0.85440037453175366</v>
      </c>
      <c r="N110" t="str">
        <f t="shared" si="11"/>
        <v>virginica</v>
      </c>
      <c r="P110">
        <v>4.6097722286464435</v>
      </c>
      <c r="Q110" t="s">
        <v>5</v>
      </c>
    </row>
    <row r="111" spans="2:20" x14ac:dyDescent="0.25">
      <c r="B111" s="1">
        <v>7.2</v>
      </c>
      <c r="C111" s="1">
        <v>3.6</v>
      </c>
      <c r="D111" s="1">
        <v>6.1</v>
      </c>
      <c r="E111" s="1">
        <v>2.5</v>
      </c>
      <c r="F111" s="1" t="s">
        <v>7</v>
      </c>
      <c r="I111" s="1">
        <v>6.1</v>
      </c>
      <c r="J111" s="1">
        <v>2.5</v>
      </c>
      <c r="K111" s="2" t="s">
        <v>7</v>
      </c>
      <c r="M111">
        <f t="shared" si="10"/>
        <v>0.20000000000000018</v>
      </c>
      <c r="N111" t="str">
        <f t="shared" si="11"/>
        <v>virginica</v>
      </c>
      <c r="P111">
        <v>4.9193495504995379</v>
      </c>
      <c r="Q111" t="s">
        <v>5</v>
      </c>
    </row>
    <row r="112" spans="2:20" x14ac:dyDescent="0.25">
      <c r="B112" s="3">
        <v>6.5</v>
      </c>
      <c r="C112" s="3">
        <v>3.2</v>
      </c>
      <c r="D112" s="3">
        <v>5.0999999999999996</v>
      </c>
      <c r="E112" s="3">
        <v>2</v>
      </c>
      <c r="F112" s="3" t="s">
        <v>7</v>
      </c>
      <c r="I112" s="1">
        <v>5.0999999999999996</v>
      </c>
      <c r="J112" s="1">
        <v>2</v>
      </c>
      <c r="K112" s="2" t="s">
        <v>7</v>
      </c>
      <c r="M112">
        <f t="shared" si="10"/>
        <v>0.44721359549995754</v>
      </c>
      <c r="N112" t="str">
        <f t="shared" si="11"/>
        <v>virginica</v>
      </c>
      <c r="P112">
        <v>4.924428900898052</v>
      </c>
      <c r="Q112" t="s">
        <v>5</v>
      </c>
    </row>
    <row r="113" spans="2:20" x14ac:dyDescent="0.25">
      <c r="B113" s="1">
        <v>6.4</v>
      </c>
      <c r="C113" s="1">
        <v>2.7</v>
      </c>
      <c r="D113" s="1">
        <v>5.3</v>
      </c>
      <c r="E113" s="1">
        <v>1.9</v>
      </c>
      <c r="F113" s="1" t="s">
        <v>7</v>
      </c>
      <c r="I113" s="1">
        <v>5.3</v>
      </c>
      <c r="J113" s="1">
        <v>1.9</v>
      </c>
      <c r="K113" s="2" t="s">
        <v>7</v>
      </c>
      <c r="M113">
        <f>SQRT(($N$25 - N16)^2 + ($O$25 - O16)^2)</f>
        <v>0.31622776601683866</v>
      </c>
      <c r="N113" t="str">
        <f t="shared" si="11"/>
        <v>virginica</v>
      </c>
      <c r="P113">
        <v>4.965883607174054</v>
      </c>
      <c r="Q113" t="s">
        <v>5</v>
      </c>
    </row>
    <row r="114" spans="2:20" x14ac:dyDescent="0.25">
      <c r="B114" s="3">
        <v>6.8</v>
      </c>
      <c r="C114" s="3">
        <v>3</v>
      </c>
      <c r="D114" s="3">
        <v>5.5</v>
      </c>
      <c r="E114" s="3">
        <v>2.1</v>
      </c>
      <c r="F114" s="3" t="s">
        <v>7</v>
      </c>
      <c r="I114" s="1">
        <v>5.5</v>
      </c>
      <c r="J114" s="1">
        <v>2.1</v>
      </c>
      <c r="K114" s="2" t="s">
        <v>7</v>
      </c>
    </row>
    <row r="115" spans="2:20" x14ac:dyDescent="0.25">
      <c r="B115" s="1">
        <v>5.7</v>
      </c>
      <c r="C115" s="1">
        <v>2.5</v>
      </c>
      <c r="D115" s="1">
        <v>5</v>
      </c>
      <c r="E115" s="1">
        <v>2</v>
      </c>
      <c r="F115" s="1" t="s">
        <v>7</v>
      </c>
      <c r="I115" s="1">
        <v>5</v>
      </c>
      <c r="J115" s="1">
        <v>2</v>
      </c>
      <c r="K115" s="2" t="s">
        <v>7</v>
      </c>
      <c r="M115" t="s">
        <v>19</v>
      </c>
    </row>
    <row r="116" spans="2:20" x14ac:dyDescent="0.25">
      <c r="B116" s="3">
        <v>5.8</v>
      </c>
      <c r="C116" s="3">
        <v>2.8</v>
      </c>
      <c r="D116" s="3">
        <v>5.0999999999999996</v>
      </c>
      <c r="E116" s="3">
        <v>2.4</v>
      </c>
      <c r="F116" s="3" t="s">
        <v>7</v>
      </c>
      <c r="I116" s="1">
        <v>5.0999999999999996</v>
      </c>
      <c r="J116" s="1">
        <v>2.4</v>
      </c>
      <c r="K116" s="2" t="s">
        <v>7</v>
      </c>
      <c r="M116" t="s">
        <v>12</v>
      </c>
      <c r="N116" t="s">
        <v>13</v>
      </c>
      <c r="P116" t="s">
        <v>12</v>
      </c>
      <c r="Q116" t="s">
        <v>13</v>
      </c>
      <c r="S116" t="s">
        <v>20</v>
      </c>
      <c r="T116" t="s">
        <v>13</v>
      </c>
    </row>
    <row r="117" spans="2:20" x14ac:dyDescent="0.25">
      <c r="B117" s="1">
        <v>6.4</v>
      </c>
      <c r="C117" s="1">
        <v>3.2</v>
      </c>
      <c r="D117" s="1">
        <v>5.3</v>
      </c>
      <c r="E117" s="1">
        <v>2.2999999999999998</v>
      </c>
      <c r="F117" s="1" t="s">
        <v>7</v>
      </c>
      <c r="I117" s="1">
        <v>5.3</v>
      </c>
      <c r="J117" s="1">
        <v>2.2999999999999998</v>
      </c>
      <c r="K117" s="2" t="s">
        <v>7</v>
      </c>
      <c r="M117">
        <f>SQRT(($N$26 - N3)^2 + ($O$26 - O3)^2)</f>
        <v>3.8483762809787718</v>
      </c>
      <c r="N117" t="str">
        <f>P3</f>
        <v>setosa</v>
      </c>
      <c r="P117">
        <v>0.10000000000000053</v>
      </c>
      <c r="Q117" t="s">
        <v>6</v>
      </c>
      <c r="S117">
        <v>3</v>
      </c>
      <c r="T117" t="s">
        <v>6</v>
      </c>
    </row>
    <row r="118" spans="2:20" x14ac:dyDescent="0.25">
      <c r="B118" s="3">
        <v>6.5</v>
      </c>
      <c r="C118" s="3">
        <v>3</v>
      </c>
      <c r="D118" s="3">
        <v>5.5</v>
      </c>
      <c r="E118" s="3">
        <v>1.8</v>
      </c>
      <c r="F118" s="3" t="s">
        <v>7</v>
      </c>
      <c r="I118" s="1">
        <v>5.5</v>
      </c>
      <c r="J118" s="1">
        <v>1.8</v>
      </c>
      <c r="K118" s="2" t="s">
        <v>7</v>
      </c>
      <c r="M118">
        <f t="shared" ref="M118:M130" si="12">SQRT(($N$26 - N4)^2 + ($O$26 - O4)^2)</f>
        <v>3.4928498393145961</v>
      </c>
      <c r="N118" t="str">
        <f t="shared" ref="N118:N130" si="13">P4</f>
        <v>setosa</v>
      </c>
      <c r="P118">
        <v>0.28284271247461845</v>
      </c>
      <c r="Q118" t="s">
        <v>7</v>
      </c>
      <c r="S118">
        <v>4</v>
      </c>
      <c r="T118" t="s">
        <v>6</v>
      </c>
    </row>
    <row r="119" spans="2:20" x14ac:dyDescent="0.25">
      <c r="B119" s="1">
        <v>7.7</v>
      </c>
      <c r="C119" s="1">
        <v>3.8</v>
      </c>
      <c r="D119" s="1">
        <v>6.7</v>
      </c>
      <c r="E119" s="1">
        <v>2.2000000000000002</v>
      </c>
      <c r="F119" s="1" t="s">
        <v>7</v>
      </c>
      <c r="I119" s="1">
        <v>6.7</v>
      </c>
      <c r="J119" s="1">
        <v>2.2000000000000002</v>
      </c>
      <c r="K119" s="2" t="s">
        <v>7</v>
      </c>
      <c r="M119">
        <f t="shared" si="12"/>
        <v>3.801315561749643</v>
      </c>
      <c r="N119" t="str">
        <f t="shared" si="13"/>
        <v>setosa</v>
      </c>
      <c r="P119">
        <v>0.44721359549995815</v>
      </c>
      <c r="Q119" t="s">
        <v>6</v>
      </c>
    </row>
    <row r="120" spans="2:20" x14ac:dyDescent="0.25">
      <c r="B120" s="3">
        <v>7.7</v>
      </c>
      <c r="C120" s="3">
        <v>2.6</v>
      </c>
      <c r="D120" s="3">
        <v>6.9</v>
      </c>
      <c r="E120" s="3">
        <v>2.2999999999999998</v>
      </c>
      <c r="F120" s="3" t="s">
        <v>7</v>
      </c>
      <c r="I120" s="1">
        <v>6.9</v>
      </c>
      <c r="J120" s="1">
        <v>2.2999999999999998</v>
      </c>
      <c r="K120" s="2" t="s">
        <v>7</v>
      </c>
      <c r="M120">
        <f t="shared" si="12"/>
        <v>3.8078865529319548</v>
      </c>
      <c r="N120" t="str">
        <f t="shared" si="13"/>
        <v>setosa</v>
      </c>
      <c r="P120">
        <v>0.78102496759066553</v>
      </c>
      <c r="Q120" t="s">
        <v>6</v>
      </c>
    </row>
    <row r="121" spans="2:20" x14ac:dyDescent="0.25">
      <c r="B121" s="1">
        <v>6</v>
      </c>
      <c r="C121" s="1">
        <v>2.2000000000000002</v>
      </c>
      <c r="D121" s="1">
        <v>5</v>
      </c>
      <c r="E121" s="1">
        <v>1.5</v>
      </c>
      <c r="F121" s="1" t="s">
        <v>7</v>
      </c>
      <c r="I121" s="1">
        <v>5</v>
      </c>
      <c r="J121" s="1">
        <v>1.5</v>
      </c>
      <c r="K121" s="2" t="s">
        <v>7</v>
      </c>
      <c r="M121">
        <f t="shared" si="12"/>
        <v>0.44721359549995815</v>
      </c>
      <c r="N121" t="str">
        <f t="shared" si="13"/>
        <v>versicolor</v>
      </c>
      <c r="P121">
        <v>0.92195444572928809</v>
      </c>
      <c r="Q121" t="s">
        <v>7</v>
      </c>
    </row>
    <row r="122" spans="2:20" x14ac:dyDescent="0.25">
      <c r="B122" s="3">
        <v>6.9</v>
      </c>
      <c r="C122" s="3">
        <v>3.2</v>
      </c>
      <c r="D122" s="3">
        <v>5.7</v>
      </c>
      <c r="E122" s="3">
        <v>2.2999999999999998</v>
      </c>
      <c r="F122" s="3" t="s">
        <v>7</v>
      </c>
      <c r="I122" s="1">
        <v>5.7</v>
      </c>
      <c r="J122" s="1">
        <v>2.2999999999999998</v>
      </c>
      <c r="K122" s="2" t="s">
        <v>7</v>
      </c>
      <c r="M122">
        <f t="shared" si="12"/>
        <v>1.6124515496597103</v>
      </c>
      <c r="N122" t="str">
        <f t="shared" si="13"/>
        <v>versicolor</v>
      </c>
      <c r="P122">
        <v>0.94339811320566014</v>
      </c>
      <c r="Q122" t="s">
        <v>7</v>
      </c>
    </row>
    <row r="123" spans="2:20" x14ac:dyDescent="0.25">
      <c r="B123" s="1">
        <v>5.6</v>
      </c>
      <c r="C123" s="1">
        <v>2.8</v>
      </c>
      <c r="D123" s="1">
        <v>4.9000000000000004</v>
      </c>
      <c r="E123" s="1">
        <v>2</v>
      </c>
      <c r="F123" s="1" t="s">
        <v>7</v>
      </c>
      <c r="I123" s="1">
        <v>4.9000000000000004</v>
      </c>
      <c r="J123" s="1">
        <v>2</v>
      </c>
      <c r="K123" s="2" t="s">
        <v>7</v>
      </c>
      <c r="M123">
        <f t="shared" si="12"/>
        <v>0.10000000000000053</v>
      </c>
      <c r="N123" t="str">
        <f t="shared" si="13"/>
        <v>versicolor</v>
      </c>
      <c r="P123">
        <v>1.204159457879229</v>
      </c>
      <c r="Q123" t="s">
        <v>7</v>
      </c>
    </row>
    <row r="124" spans="2:20" x14ac:dyDescent="0.25">
      <c r="B124" s="3">
        <v>7.7</v>
      </c>
      <c r="C124" s="3">
        <v>2.8</v>
      </c>
      <c r="D124" s="3">
        <v>6.7</v>
      </c>
      <c r="E124" s="3">
        <v>2</v>
      </c>
      <c r="F124" s="3" t="s">
        <v>7</v>
      </c>
      <c r="I124" s="1">
        <v>6.7</v>
      </c>
      <c r="J124" s="1">
        <v>2</v>
      </c>
      <c r="K124" s="2" t="s">
        <v>7</v>
      </c>
      <c r="M124">
        <f t="shared" si="12"/>
        <v>1.3038404810405302</v>
      </c>
      <c r="N124" t="str">
        <f t="shared" si="13"/>
        <v>versicolor</v>
      </c>
      <c r="P124">
        <v>1.3038404810405295</v>
      </c>
      <c r="Q124" t="s">
        <v>7</v>
      </c>
    </row>
    <row r="125" spans="2:20" x14ac:dyDescent="0.25">
      <c r="B125" s="1">
        <v>6.3</v>
      </c>
      <c r="C125" s="1">
        <v>2.7</v>
      </c>
      <c r="D125" s="1">
        <v>4.9000000000000004</v>
      </c>
      <c r="E125" s="1">
        <v>1.8</v>
      </c>
      <c r="F125" s="1" t="s">
        <v>7</v>
      </c>
      <c r="I125" s="1">
        <v>4.9000000000000004</v>
      </c>
      <c r="J125" s="1">
        <v>1.8</v>
      </c>
      <c r="K125" s="2" t="s">
        <v>7</v>
      </c>
      <c r="M125">
        <f t="shared" si="12"/>
        <v>0.78102496759066553</v>
      </c>
      <c r="N125" t="str">
        <f t="shared" si="13"/>
        <v>versicolor</v>
      </c>
      <c r="P125">
        <v>1.3038404810405302</v>
      </c>
      <c r="Q125" t="s">
        <v>6</v>
      </c>
    </row>
    <row r="126" spans="2:20" x14ac:dyDescent="0.25">
      <c r="B126" s="3">
        <v>6.7</v>
      </c>
      <c r="C126" s="3">
        <v>3.3</v>
      </c>
      <c r="D126" s="3">
        <v>5.7</v>
      </c>
      <c r="E126" s="3">
        <v>2.1</v>
      </c>
      <c r="F126" s="3" t="s">
        <v>7</v>
      </c>
      <c r="I126" s="1">
        <v>5.7</v>
      </c>
      <c r="J126" s="1">
        <v>2.1</v>
      </c>
      <c r="K126" s="2" t="s">
        <v>7</v>
      </c>
      <c r="M126">
        <f t="shared" si="12"/>
        <v>1.3038404810405295</v>
      </c>
      <c r="N126" t="str">
        <f t="shared" si="13"/>
        <v>virginica</v>
      </c>
      <c r="P126">
        <v>1.6124515496597103</v>
      </c>
      <c r="Q126" t="s">
        <v>6</v>
      </c>
    </row>
    <row r="127" spans="2:20" x14ac:dyDescent="0.25">
      <c r="B127" s="1">
        <v>7.2</v>
      </c>
      <c r="C127" s="1">
        <v>3.2</v>
      </c>
      <c r="D127" s="1">
        <v>6</v>
      </c>
      <c r="E127" s="1">
        <v>1.8</v>
      </c>
      <c r="F127" s="1" t="s">
        <v>7</v>
      </c>
      <c r="I127" s="1">
        <v>6</v>
      </c>
      <c r="J127" s="1">
        <v>1.8</v>
      </c>
      <c r="K127" s="2" t="s">
        <v>7</v>
      </c>
      <c r="M127">
        <f t="shared" si="12"/>
        <v>0.28284271247461845</v>
      </c>
      <c r="N127" t="str">
        <f t="shared" si="13"/>
        <v>virginica</v>
      </c>
      <c r="P127">
        <v>3.4928498393145961</v>
      </c>
      <c r="Q127" t="s">
        <v>5</v>
      </c>
    </row>
    <row r="128" spans="2:20" x14ac:dyDescent="0.25">
      <c r="B128" s="3">
        <v>6.2</v>
      </c>
      <c r="C128" s="3">
        <v>2.8</v>
      </c>
      <c r="D128" s="3">
        <v>4.8</v>
      </c>
      <c r="E128" s="3">
        <v>1.8</v>
      </c>
      <c r="F128" s="3" t="s">
        <v>7</v>
      </c>
      <c r="I128" s="1">
        <v>4.8</v>
      </c>
      <c r="J128" s="1">
        <v>1.8</v>
      </c>
      <c r="K128" s="2" t="s">
        <v>7</v>
      </c>
      <c r="M128">
        <f t="shared" si="12"/>
        <v>0.94339811320566014</v>
      </c>
      <c r="N128" t="str">
        <f t="shared" si="13"/>
        <v>virginica</v>
      </c>
      <c r="P128">
        <v>3.801315561749643</v>
      </c>
      <c r="Q128" t="s">
        <v>5</v>
      </c>
    </row>
    <row r="129" spans="2:17" x14ac:dyDescent="0.25">
      <c r="B129" s="1">
        <v>6.1</v>
      </c>
      <c r="C129" s="1">
        <v>3</v>
      </c>
      <c r="D129" s="1">
        <v>4.9000000000000004</v>
      </c>
      <c r="E129" s="1">
        <v>1.8</v>
      </c>
      <c r="F129" s="1" t="s">
        <v>7</v>
      </c>
      <c r="I129" s="1">
        <v>4.9000000000000004</v>
      </c>
      <c r="J129" s="1">
        <v>1.8</v>
      </c>
      <c r="K129" s="2" t="s">
        <v>7</v>
      </c>
      <c r="M129">
        <f t="shared" si="12"/>
        <v>1.204159457879229</v>
      </c>
      <c r="N129" t="str">
        <f t="shared" si="13"/>
        <v>virginica</v>
      </c>
      <c r="P129">
        <v>3.8078865529319548</v>
      </c>
      <c r="Q129" t="s">
        <v>5</v>
      </c>
    </row>
    <row r="130" spans="2:17" x14ac:dyDescent="0.25">
      <c r="B130" s="3">
        <v>6.4</v>
      </c>
      <c r="C130" s="3">
        <v>2.8</v>
      </c>
      <c r="D130" s="3">
        <v>5.6</v>
      </c>
      <c r="E130" s="3">
        <v>2.1</v>
      </c>
      <c r="F130" s="3" t="s">
        <v>7</v>
      </c>
      <c r="I130" s="1">
        <v>5.6</v>
      </c>
      <c r="J130" s="1">
        <v>2.1</v>
      </c>
      <c r="K130" s="2" t="s">
        <v>7</v>
      </c>
      <c r="M130">
        <f t="shared" si="12"/>
        <v>0.92195444572928809</v>
      </c>
      <c r="N130" t="str">
        <f t="shared" si="13"/>
        <v>virginica</v>
      </c>
      <c r="P130">
        <v>3.8483762809787718</v>
      </c>
      <c r="Q130" t="s">
        <v>5</v>
      </c>
    </row>
    <row r="131" spans="2:17" x14ac:dyDescent="0.25">
      <c r="B131" s="1">
        <v>7.2</v>
      </c>
      <c r="C131" s="1">
        <v>3</v>
      </c>
      <c r="D131" s="1">
        <v>5.8</v>
      </c>
      <c r="E131" s="1">
        <v>1.6</v>
      </c>
      <c r="F131" s="1" t="s">
        <v>7</v>
      </c>
      <c r="I131" s="1">
        <v>5.8</v>
      </c>
      <c r="J131" s="1">
        <v>1.6</v>
      </c>
      <c r="K131" s="2" t="s">
        <v>7</v>
      </c>
    </row>
    <row r="132" spans="2:17" x14ac:dyDescent="0.25">
      <c r="B132" s="3">
        <v>7.4</v>
      </c>
      <c r="C132" s="3">
        <v>2.8</v>
      </c>
      <c r="D132" s="3">
        <v>6.1</v>
      </c>
      <c r="E132" s="3">
        <v>1.9</v>
      </c>
      <c r="F132" s="3" t="s">
        <v>7</v>
      </c>
      <c r="I132" s="1">
        <v>6.1</v>
      </c>
      <c r="J132" s="1">
        <v>1.9</v>
      </c>
      <c r="K132" s="2" t="s">
        <v>7</v>
      </c>
    </row>
    <row r="133" spans="2:17" x14ac:dyDescent="0.25">
      <c r="B133" s="1">
        <v>7.9</v>
      </c>
      <c r="C133" s="1">
        <v>3.8</v>
      </c>
      <c r="D133" s="1">
        <v>6.4</v>
      </c>
      <c r="E133" s="1">
        <v>2</v>
      </c>
      <c r="F133" s="1" t="s">
        <v>7</v>
      </c>
      <c r="I133" s="1">
        <v>6.4</v>
      </c>
      <c r="J133" s="1">
        <v>2</v>
      </c>
      <c r="K133" s="2" t="s">
        <v>7</v>
      </c>
    </row>
    <row r="134" spans="2:17" x14ac:dyDescent="0.25">
      <c r="B134" s="3">
        <v>6.4</v>
      </c>
      <c r="C134" s="3">
        <v>2.8</v>
      </c>
      <c r="D134" s="3">
        <v>5.6</v>
      </c>
      <c r="E134" s="3">
        <v>2.2000000000000002</v>
      </c>
      <c r="F134" s="3" t="s">
        <v>7</v>
      </c>
      <c r="I134" s="1">
        <v>5.6</v>
      </c>
      <c r="J134" s="1">
        <v>2.2000000000000002</v>
      </c>
      <c r="K134" s="2" t="s">
        <v>7</v>
      </c>
    </row>
    <row r="135" spans="2:17" x14ac:dyDescent="0.25">
      <c r="B135" s="1">
        <v>6.3</v>
      </c>
      <c r="C135" s="1">
        <v>2.8</v>
      </c>
      <c r="D135" s="1">
        <v>5.0999999999999996</v>
      </c>
      <c r="E135" s="1">
        <v>1.5</v>
      </c>
      <c r="F135" s="1" t="s">
        <v>7</v>
      </c>
      <c r="I135" s="1">
        <v>5.0999999999999996</v>
      </c>
      <c r="J135" s="1">
        <v>1.5</v>
      </c>
      <c r="K135" s="2" t="s">
        <v>7</v>
      </c>
    </row>
    <row r="136" spans="2:17" x14ac:dyDescent="0.25">
      <c r="B136" s="3">
        <v>6.1</v>
      </c>
      <c r="C136" s="3">
        <v>2.6</v>
      </c>
      <c r="D136" s="3">
        <v>5.6</v>
      </c>
      <c r="E136" s="3">
        <v>1.4</v>
      </c>
      <c r="F136" s="3" t="s">
        <v>7</v>
      </c>
      <c r="I136" s="1">
        <v>5.6</v>
      </c>
      <c r="J136" s="1">
        <v>1.4</v>
      </c>
      <c r="K136" s="2" t="s">
        <v>7</v>
      </c>
    </row>
    <row r="137" spans="2:17" x14ac:dyDescent="0.25">
      <c r="B137" s="1">
        <v>7.7</v>
      </c>
      <c r="C137" s="1">
        <v>3</v>
      </c>
      <c r="D137" s="1">
        <v>6.1</v>
      </c>
      <c r="E137" s="1">
        <v>2.2999999999999998</v>
      </c>
      <c r="F137" s="1" t="s">
        <v>7</v>
      </c>
      <c r="I137" s="1">
        <v>6.1</v>
      </c>
      <c r="J137" s="1">
        <v>2.2999999999999998</v>
      </c>
      <c r="K137" s="2" t="s">
        <v>7</v>
      </c>
    </row>
    <row r="138" spans="2:17" x14ac:dyDescent="0.25">
      <c r="B138" s="3">
        <v>6.3</v>
      </c>
      <c r="C138" s="3">
        <v>3.4</v>
      </c>
      <c r="D138" s="3">
        <v>5.6</v>
      </c>
      <c r="E138" s="3">
        <v>2.4</v>
      </c>
      <c r="F138" s="3" t="s">
        <v>7</v>
      </c>
      <c r="I138" s="1">
        <v>5.6</v>
      </c>
      <c r="J138" s="1">
        <v>2.4</v>
      </c>
      <c r="K138" s="2" t="s">
        <v>7</v>
      </c>
    </row>
    <row r="139" spans="2:17" x14ac:dyDescent="0.25">
      <c r="B139" s="1">
        <v>6.4</v>
      </c>
      <c r="C139" s="1">
        <v>3.1</v>
      </c>
      <c r="D139" s="1">
        <v>5.5</v>
      </c>
      <c r="E139" s="1">
        <v>1.8</v>
      </c>
      <c r="F139" s="1" t="s">
        <v>7</v>
      </c>
      <c r="I139" s="1">
        <v>5.5</v>
      </c>
      <c r="J139" s="1">
        <v>1.8</v>
      </c>
      <c r="K139" s="2" t="s">
        <v>7</v>
      </c>
    </row>
    <row r="140" spans="2:17" x14ac:dyDescent="0.25">
      <c r="B140" s="3">
        <v>6</v>
      </c>
      <c r="C140" s="3">
        <v>3</v>
      </c>
      <c r="D140" s="3">
        <v>4.8</v>
      </c>
      <c r="E140" s="3">
        <v>1.8</v>
      </c>
      <c r="F140" s="3" t="s">
        <v>7</v>
      </c>
      <c r="I140" s="1">
        <v>4.8</v>
      </c>
      <c r="J140" s="1">
        <v>1.8</v>
      </c>
      <c r="K140" s="2" t="s">
        <v>7</v>
      </c>
    </row>
    <row r="141" spans="2:17" x14ac:dyDescent="0.25">
      <c r="B141" s="1">
        <v>6.9</v>
      </c>
      <c r="C141" s="1">
        <v>3.1</v>
      </c>
      <c r="D141" s="1">
        <v>5.4</v>
      </c>
      <c r="E141" s="1">
        <v>2.1</v>
      </c>
      <c r="F141" s="1" t="s">
        <v>7</v>
      </c>
      <c r="I141" s="1">
        <v>5.4</v>
      </c>
      <c r="J141" s="1">
        <v>2.1</v>
      </c>
      <c r="K141" s="2" t="s">
        <v>7</v>
      </c>
    </row>
    <row r="142" spans="2:17" x14ac:dyDescent="0.25">
      <c r="B142" s="3">
        <v>6.7</v>
      </c>
      <c r="C142" s="3">
        <v>3.1</v>
      </c>
      <c r="D142" s="3">
        <v>5.6</v>
      </c>
      <c r="E142" s="3">
        <v>2.4</v>
      </c>
      <c r="F142" s="3" t="s">
        <v>7</v>
      </c>
      <c r="I142" s="1">
        <v>5.6</v>
      </c>
      <c r="J142" s="1">
        <v>2.4</v>
      </c>
      <c r="K142" s="2" t="s">
        <v>7</v>
      </c>
    </row>
    <row r="143" spans="2:17" x14ac:dyDescent="0.25">
      <c r="B143" s="1">
        <v>6.9</v>
      </c>
      <c r="C143" s="1">
        <v>3.1</v>
      </c>
      <c r="D143" s="1">
        <v>5.0999999999999996</v>
      </c>
      <c r="E143" s="1">
        <v>2.2999999999999998</v>
      </c>
      <c r="F143" s="1" t="s">
        <v>7</v>
      </c>
      <c r="I143" s="1">
        <v>5.0999999999999996</v>
      </c>
      <c r="J143" s="1">
        <v>2.2999999999999998</v>
      </c>
      <c r="K143" s="2" t="s">
        <v>7</v>
      </c>
    </row>
    <row r="144" spans="2:17" x14ac:dyDescent="0.25">
      <c r="B144" s="3">
        <v>5.8</v>
      </c>
      <c r="C144" s="3">
        <v>2.7</v>
      </c>
      <c r="D144" s="3">
        <v>5.0999999999999996</v>
      </c>
      <c r="E144" s="3">
        <v>1.9</v>
      </c>
      <c r="F144" s="3" t="s">
        <v>7</v>
      </c>
      <c r="I144" s="1">
        <v>5.0999999999999996</v>
      </c>
      <c r="J144" s="1">
        <v>1.9</v>
      </c>
      <c r="K144" s="2" t="s">
        <v>7</v>
      </c>
    </row>
    <row r="145" spans="2:11" x14ac:dyDescent="0.25">
      <c r="B145" s="1">
        <v>6.8</v>
      </c>
      <c r="C145" s="1">
        <v>3.2</v>
      </c>
      <c r="D145" s="1">
        <v>5.9</v>
      </c>
      <c r="E145" s="1">
        <v>2.2999999999999998</v>
      </c>
      <c r="F145" s="1" t="s">
        <v>7</v>
      </c>
      <c r="I145" s="1">
        <v>5.9</v>
      </c>
      <c r="J145" s="1">
        <v>2.2999999999999998</v>
      </c>
      <c r="K145" s="2" t="s">
        <v>7</v>
      </c>
    </row>
    <row r="146" spans="2:11" x14ac:dyDescent="0.25">
      <c r="B146" s="3">
        <v>6.7</v>
      </c>
      <c r="C146" s="3">
        <v>3.3</v>
      </c>
      <c r="D146" s="3">
        <v>5.7</v>
      </c>
      <c r="E146" s="3">
        <v>2.5</v>
      </c>
      <c r="F146" s="3" t="s">
        <v>7</v>
      </c>
      <c r="I146" s="1">
        <v>5.7</v>
      </c>
      <c r="J146" s="1">
        <v>2.5</v>
      </c>
      <c r="K146" s="2" t="s">
        <v>7</v>
      </c>
    </row>
    <row r="147" spans="2:11" x14ac:dyDescent="0.25">
      <c r="B147" s="1">
        <v>6.7</v>
      </c>
      <c r="C147" s="1">
        <v>3</v>
      </c>
      <c r="D147" s="1">
        <v>5.2</v>
      </c>
      <c r="E147" s="1">
        <v>2.2999999999999998</v>
      </c>
      <c r="F147" s="1" t="s">
        <v>7</v>
      </c>
      <c r="I147" s="1">
        <v>5.2</v>
      </c>
      <c r="J147" s="1">
        <v>2.2999999999999998</v>
      </c>
      <c r="K147" s="2" t="s">
        <v>7</v>
      </c>
    </row>
    <row r="148" spans="2:11" x14ac:dyDescent="0.25">
      <c r="B148" s="3">
        <v>6.3</v>
      </c>
      <c r="C148" s="3">
        <v>2.5</v>
      </c>
      <c r="D148" s="3">
        <v>5</v>
      </c>
      <c r="E148" s="3">
        <v>1.9</v>
      </c>
      <c r="F148" s="3" t="s">
        <v>7</v>
      </c>
      <c r="I148" s="1">
        <v>5</v>
      </c>
      <c r="J148" s="1">
        <v>1.9</v>
      </c>
      <c r="K148" s="2" t="s">
        <v>7</v>
      </c>
    </row>
    <row r="149" spans="2:11" x14ac:dyDescent="0.25">
      <c r="B149" s="1">
        <v>6.5</v>
      </c>
      <c r="C149" s="1">
        <v>3</v>
      </c>
      <c r="D149" s="1">
        <v>5.2</v>
      </c>
      <c r="E149" s="1">
        <v>2</v>
      </c>
      <c r="F149" s="1" t="s">
        <v>7</v>
      </c>
      <c r="I149" s="1">
        <v>5.2</v>
      </c>
      <c r="J149" s="1">
        <v>2</v>
      </c>
      <c r="K149" s="2" t="s">
        <v>7</v>
      </c>
    </row>
    <row r="150" spans="2:11" x14ac:dyDescent="0.25">
      <c r="B150" s="3">
        <v>6.2</v>
      </c>
      <c r="C150" s="3">
        <v>3.4</v>
      </c>
      <c r="D150" s="3">
        <v>5.4</v>
      </c>
      <c r="E150" s="3">
        <v>2.2999999999999998</v>
      </c>
      <c r="F150" s="3" t="s">
        <v>7</v>
      </c>
      <c r="I150" s="1">
        <v>5.4</v>
      </c>
      <c r="J150" s="1">
        <v>2.2999999999999998</v>
      </c>
      <c r="K150" s="2" t="s">
        <v>7</v>
      </c>
    </row>
    <row r="151" spans="2:11" x14ac:dyDescent="0.25">
      <c r="B151" s="4">
        <v>5.9</v>
      </c>
      <c r="C151" s="4">
        <v>3</v>
      </c>
      <c r="D151" s="4">
        <v>5.0999999999999996</v>
      </c>
      <c r="E151" s="4">
        <v>1.8</v>
      </c>
      <c r="F151" s="4" t="s">
        <v>7</v>
      </c>
      <c r="I151" s="1">
        <v>5.0999999999999996</v>
      </c>
      <c r="J151" s="1">
        <v>1.8</v>
      </c>
      <c r="K151" s="2" t="s">
        <v>7</v>
      </c>
    </row>
  </sheetData>
  <mergeCells count="4">
    <mergeCell ref="AB32:AB34"/>
    <mergeCell ref="AB38:AB40"/>
    <mergeCell ref="M1:P1"/>
    <mergeCell ref="M19:P19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D57B4D-EFA3-456F-A2BE-C5038052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iris (2)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2025-12-09T19:56:20Z</dcterms:modified>
</cp:coreProperties>
</file>